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41aed4c6a74e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c106e57afa064258"/>
    <x:sheet xmlns:r="http://schemas.openxmlformats.org/officeDocument/2006/relationships" name="Dashboard" sheetId="2" r:id="R34feb3ee420f4bff"/>
    <x:sheet xmlns:r="http://schemas.openxmlformats.org/officeDocument/2006/relationships" name="Lists" sheetId="3" r:id="R49808dba39c94d47"/>
    <x:sheet xmlns:r="http://schemas.openxmlformats.org/officeDocument/2006/relationships" name="Instructions" sheetId="4" r:id="Rf66d7639111b49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</x:fonts>
  <x:fills count="2">
    <x:fill>
      <x:patternFill patternType="none"/>
    </x:fill>
    <x:fill>
      <x:patternFill patternType="gray125"/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47ea10bd4848bb" /><Relationship Type="http://schemas.openxmlformats.org/officeDocument/2006/relationships/theme" Target="/xl/theme/theme1.xml" Id="R189e20cf6f82415f" /><Relationship Type="http://schemas.openxmlformats.org/officeDocument/2006/relationships/sharedStrings" Target="/xl/sharedStrings.xml" Id="Rf2ba31f084d94ea7" /><Relationship Type="http://schemas.openxmlformats.org/officeDocument/2006/relationships/worksheet" Target="/xl/worksheets/sheet1.xml" Id="Rc106e57afa064258" /><Relationship Type="http://schemas.openxmlformats.org/officeDocument/2006/relationships/worksheet" Target="/xl/worksheets/sheet2.xml" Id="R34feb3ee420f4bff" /><Relationship Type="http://schemas.openxmlformats.org/officeDocument/2006/relationships/worksheet" Target="/xl/worksheets/sheet3.xml" Id="R49808dba39c94d47" /><Relationship Type="http://schemas.openxmlformats.org/officeDocument/2006/relationships/worksheet" Target="/xl/worksheets/sheet4.xml" Id="Rf66d7639111b498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Release command overview</x:v>
      </x:c>
      <x:c r="C2" s="14" t="str">
        <x:v>Release Command</x:v>
      </x:c>
      <x:c r="D2" s="14" t="str">
        <x:v>app/web/index.html; app/web/app.js; app/api.py</x:v>
      </x:c>
      <x:c r="E2" s="14" t="str">
        <x:v>GET /</x:v>
      </x:c>
      <x:c r="F2" s="14" t="str">
        <x:v>Post-production supervisor</x:v>
      </x:c>
      <x:c r="G2" s="14" t="str">
        <x:v>As a post-production supervisor, I want to see the production, sequence, deadline, and release risk immediately, so that I can decide where to focus.</x:v>
      </x:c>
      <x:c r="H2" s="14" t="str">
        <x:v>The first viewport identifies Eclipse Protocol Episode 6, SQ-42, 24-minute lock, 18 shots, 12 at risk, 16 minutes late, and evidence mode.</x:v>
      </x:c>
      <x:c r="I2" s="14" t="str">
        <x:v>Implemented as specified; deterministic local mode is explicit, and external live dependencies fail closed.</x:v>
      </x:c>
      <x:c r="J2" s="14" t="str">
        <x:v>Verified</x:v>
      </x:c>
      <x:c r="K2" s="14" t="str">
        <x:v>Manual UI</x:v>
      </x:c>
      <x:c r="L2" s="14" t="str">
        <x:v>Open / at 1440x1000 and 390x844; assert all identity and risk fields are visible without interaction.</x:v>
      </x:c>
      <x:c r="M2" s="14" t="str">
        <x:v>PASSED — desktop and 390x844 browser acceptance completed with screenshots and semantic DOM evidence.</x:v>
      </x:c>
      <x:c r="N2" s="14" t="str">
        <x:v>The stock ADK assistant does not implement this tracker-backed CUTLINE story.</x:v>
      </x:c>
      <x:c r="O2" s="14" t="str">
        <x:v>Critical</x:v>
      </x:c>
      <x:c r="P2" s="14" t="str">
        <x:v>Yes</x:v>
      </x:c>
      <x:c r="Q2" s="14" t="str">
        <x:v>Implemented the tracker-backed CUTLINE behavior, invariants, UI state, and regression coverage.</x:v>
      </x:c>
      <x:c r="R2" s="14" t="str">
        <x:v>app/web/index.html; app/web/app.js; app/api.py</x:v>
      </x:c>
      <x:c r="S2" s="14" t="str">
        <x:v>8db728e</x:v>
      </x:c>
      <x:c r="T2" s="14" t="str">
        <x:v>Open / at 1440x1000 and 390x844; assert all identity and risk fields are visible without interaction. Review durable evidence at qa_evidence/reports/browser_acceptance_2026_07_31.txt.</x:v>
      </x:c>
      <x:c r="U2" s="14" t="str">
        <x:v>PASSED — desktop and 390x844 browser acceptance completed with screenshots and semantic DOM evidence.</x:v>
      </x:c>
      <x:c r="V2" s="14" t="str">
        <x:v>Verified</x:v>
      </x:c>
      <x:c r="W2" s="14" t="str">
        <x:v>No</x:v>
      </x:c>
      <x:c r="X2" s="14" t="str">
        <x:v>Primary judge-comprehension gate. Final evidence: qa_evidence/reports/browser_acceptance_2026_07_31.txt.</x:v>
      </x:c>
      <x:c r="Y2" s="14" t="str">
        <x:v>/goal create winning spec, execplan, implement it 100% rock solid, 100% test coverage</x:v>
      </x:c>
    </x:row>
    <x:row r="3" ht="22" customHeight="1">
      <x:c r="A3" s="14" t="str">
        <x:v>F-002</x:v>
      </x:c>
      <x:c r="B3" s="14" t="str">
        <x:v>Scenario reset</x:v>
      </x:c>
      <x:c r="C3" s="14" t="str">
        <x:v>Scenario Control</x:v>
      </x:c>
      <x:c r="D3" s="14" t="str">
        <x:v>app/api.py; app/service.py; app/domain.py</x:v>
      </x:c>
      <x:c r="E3" s="14" t="str">
        <x:v>POST /api/scenario/reset</x:v>
      </x:c>
      <x:c r="F3" s="14" t="str">
        <x:v>Post-production supervisor</x:v>
      </x:c>
      <x:c r="G3" s="14" t="str">
        <x:v>As a post-production supervisor, I want to reset the controlled incident, so that I can reproduce the demonstration from a clean state.</x:v>
      </x:c>
      <x:c r="H3" s="14" t="str">
        <x:v>A new run ID clears approvals, actions, annotations, and verification; seeds the failing scenario; and confirms backend state.</x:v>
      </x:c>
      <x:c r="I3" s="14" t="str">
        <x:v>Implemented as specified; deterministic local mode is explicit, and external live dependencies fail closed.</x:v>
      </x:c>
      <x:c r="J3" s="14" t="str">
        <x:v>Verified</x:v>
      </x:c>
      <x:c r="K3" s="14" t="str">
        <x:v>Integration Test</x:v>
      </x:c>
      <x:c r="L3" s="14" t="str">
        <x:v>Reset twice; assert different run IDs, READY state, seeded values, and no prior action records.</x:v>
      </x:c>
      <x:c r="M3" s="14" t="str">
        <x:v>PASSED — automated unit/integration contract covered by the 33-test green quality gate.</x:v>
      </x:c>
      <x:c r="N3" s="14" t="str">
        <x:v>The stock ADK assistant does not implement this tracker-backed CUTLINE story.</x:v>
      </x:c>
      <x:c r="O3" s="14" t="str">
        <x:v>Critical</x:v>
      </x:c>
      <x:c r="P3" s="14" t="str">
        <x:v>Yes</x:v>
      </x:c>
      <x:c r="Q3" s="14" t="str">
        <x:v>Implemented the tracker-backed CUTLINE behavior, invariants, UI state, and regression coverage.</x:v>
      </x:c>
      <x:c r="R3" s="14" t="str">
        <x:v>app/api.py; app/service.py; app/domain.py</x:v>
      </x:c>
      <x:c r="S3" s="14" t="str">
        <x:v>8db728e</x:v>
      </x:c>
      <x:c r="T3" s="14" t="str">
        <x:v>Reset twice; assert different run IDs, READY state, seeded values, and no prior action records. Review durable evidence at qa_evidence/commands/final_full_quality_gate_33_tests.log.</x:v>
      </x:c>
      <x:c r="U3" s="14" t="str">
        <x:v>PASSED — automated unit/integration contract covered by the 33-test green quality gate.</x:v>
      </x:c>
      <x:c r="V3" s="14" t="str">
        <x:v>Verified</x:v>
      </x:c>
      <x:c r="W3" s="14" t="str">
        <x:v>No</x:v>
      </x:c>
      <x:c r="X3" s="14" t="str">
        <x:v>Prior evidence cannot satisfy a new run. Final evidence: qa_evidence/commands/final_full_quality_gate_33_tests.log.</x:v>
      </x:c>
      <x:c r="Y3" s="14" t="str">
        <x:v>/goal create winning spec, execplan, implement it 100% rock solid, 100% test coverage</x:v>
      </x:c>
    </x:row>
    <x:row r="4" ht="22" customHeight="1">
      <x:c r="A4" s="14" t="str">
        <x:v>F-003</x:v>
      </x:c>
      <x:c r="B4" s="14" t="str">
        <x:v>Release cutline projection</x:v>
      </x:c>
      <x:c r="C4" s="14" t="str">
        <x:v>Release Command</x:v>
      </x:c>
      <x:c r="D4" s="14" t="str">
        <x:v>app/web/index.html; app/web/app.js; app/domain.py</x:v>
      </x:c>
      <x:c r="E4" s="14" t="str">
        <x:v>GET /; GET /api/scenario</x:v>
      </x:c>
      <x:c r="F4" s="14" t="str">
        <x:v>Post-production supervisor</x:v>
      </x:c>
      <x:c r="G4" s="14" t="str">
        <x:v>As a post-production supervisor, I want to see projected shot completion against package lock, so that I can see which shots cross the cutline.</x:v>
      </x:c>
      <x:c r="H4" s="14" t="str">
        <x:v>A semantic cutline projection shows 12 of 18 shots late before recovery and zero after verified recovery.</x:v>
      </x:c>
      <x:c r="I4" s="14" t="str">
        <x:v>Implemented as specified; deterministic local mode is explicit, and external live dependencies fail closed.</x:v>
      </x:c>
      <x:c r="J4" s="14" t="str">
        <x:v>Verified</x:v>
      </x:c>
      <x:c r="K4" s="14" t="str">
        <x:v>Automated Test</x:v>
      </x:c>
      <x:c r="L4" s="14" t="str">
        <x:v>Inspect API and DOM/SVG semantics before and after recovery; assert 12 then 0 at-risk shots.</x:v>
      </x:c>
      <x:c r="M4" s="14" t="str">
        <x:v>PASSED — desktop and 390x844 browser acceptance completed with screenshots and semantic DOM evidence.</x:v>
      </x:c>
      <x:c r="N4" s="14" t="str">
        <x:v>The stock ADK assistant does not implement this tracker-backed CUTLINE story.</x:v>
      </x:c>
      <x:c r="O4" s="14" t="str">
        <x:v>Critical</x:v>
      </x:c>
      <x:c r="P4" s="14" t="str">
        <x:v>Yes</x:v>
      </x:c>
      <x:c r="Q4" s="14" t="str">
        <x:v>Implemented the tracker-backed CUTLINE behavior, invariants, UI state, and regression coverage.</x:v>
      </x:c>
      <x:c r="R4" s="14" t="str">
        <x:v>app/web/index.html; app/web/app.js; app/domain.py</x:v>
      </x:c>
      <x:c r="S4" s="14" t="str">
        <x:v>8db728e</x:v>
      </x:c>
      <x:c r="T4" s="14" t="str">
        <x:v>Inspect API and DOM/SVG semantics before and after recovery; assert 12 then 0 at-risk shots. Review durable evidence at qa_evidence/reports/browser_acceptance_2026_07_31.txt.</x:v>
      </x:c>
      <x:c r="U4" s="14" t="str">
        <x:v>PASSED — desktop and 390x844 browser acceptance completed with screenshots and semantic DOM evidence.</x:v>
      </x:c>
      <x:c r="V4" s="14" t="str">
        <x:v>Verified</x:v>
      </x:c>
      <x:c r="W4" s="14" t="str">
        <x:v>No</x:v>
      </x:c>
      <x:c r="X4" s="14" t="str">
        <x:v>Signature product primitive. Final evidence: qa_evidence/reports/browser_acceptance_2026_07_31.txt.</x:v>
      </x:c>
      <x:c r="Y4" s="14" t="str">
        <x:v>/goal create winning spec, execplan, implement it 100% rock solid, 100% test coverage</x:v>
      </x:c>
    </x:row>
    <x:row r="5" ht="22" customHeight="1">
      <x:c r="A5" s="14" t="str">
        <x:v>F-004</x:v>
      </x:c>
      <x:c r="B5" s="14" t="str">
        <x:v>Shot manifest</x:v>
      </x:c>
      <x:c r="C5" s="14" t="str">
        <x:v>Release Command</x:v>
      </x:c>
      <x:c r="D5" s="14" t="str">
        <x:v>app/web/index.html; app/web/app.js; app/domain.py</x:v>
      </x:c>
      <x:c r="E5" s="14" t="str">
        <x:v>GET /api/scenario</x:v>
      </x:c>
      <x:c r="F5" s="14" t="str">
        <x:v>Post-production supervisor</x:v>
      </x:c>
      <x:c r="G5" s="14" t="str">
        <x:v>As a post-production supervisor, I want to inspect every sequence shot and dependency, so that I can understand delivery exposure.</x:v>
      </x:c>
      <x:c r="H5" s="14" t="str">
        <x:v>Shows 18 stable shot IDs with frame ranges, status, remaining frames, attempts, worker, ETA, dependency, and 12 at-risk labels.</x:v>
      </x:c>
      <x:c r="I5" s="14" t="str">
        <x:v>Implemented as specified; deterministic local mode is explicit, and external live dependencies fail closed.</x:v>
      </x:c>
      <x:c r="J5" s="14" t="str">
        <x:v>Verified</x:v>
      </x:c>
      <x:c r="K5" s="14" t="str">
        <x:v>Automated Test</x:v>
      </x:c>
      <x:c r="L5" s="14" t="str">
        <x:v>Assert 18 unique shot objects and required fields; browser asserts table/grid semantics and 12 risk labels.</x:v>
      </x:c>
      <x:c r="M5" s="14" t="str">
        <x:v>PASSED — desktop and 390x844 browser acceptance completed with screenshots and semantic DOM evidence.</x:v>
      </x:c>
      <x:c r="N5" s="14" t="str">
        <x:v>The stock ADK assistant does not implement this tracker-backed CUTLINE story.</x:v>
      </x:c>
      <x:c r="O5" s="14" t="str">
        <x:v>High</x:v>
      </x:c>
      <x:c r="P5" s="14" t="str">
        <x:v>Yes</x:v>
      </x:c>
      <x:c r="Q5" s="14" t="str">
        <x:v>Implemented the tracker-backed CUTLINE behavior, invariants, UI state, and regression coverage.</x:v>
      </x:c>
      <x:c r="R5" s="14" t="str">
        <x:v>app/web/index.html; app/web/app.js; app/domain.py</x:v>
      </x:c>
      <x:c r="S5" s="14" t="str">
        <x:v>8db728e</x:v>
      </x:c>
      <x:c r="T5" s="14" t="str">
        <x:v>Assert 18 unique shot objects and required fields; browser asserts table/grid semantics and 12 risk labels. Review durable evidence at qa_evidence/reports/browser_acceptance_2026_07_31.txt.</x:v>
      </x:c>
      <x:c r="U5" s="14" t="str">
        <x:v>PASSED — desktop and 390x844 browser acceptance completed with screenshots and semantic DOM evidence.</x:v>
      </x:c>
      <x:c r="V5" s="14" t="str">
        <x:v>Verified</x:v>
      </x:c>
      <x:c r="W5" s="14" t="str">
        <x:v>No</x:v>
      </x:c>
      <x:c r="X5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5" s="14" t="str">
        <x:v>/goal create winning spec, execplan, implement it 100% rock solid, 100% test coverage</x:v>
      </x:c>
    </x:row>
    <x:row r="6" ht="22" customHeight="1">
      <x:c r="A6" s="14" t="str">
        <x:v>F-005</x:v>
      </x:c>
      <x:c r="B6" s="14" t="str">
        <x:v>Evidence mode and connection state</x:v>
      </x:c>
      <x:c r="C6" s="14" t="str">
        <x:v>Evidence</x:v>
      </x:c>
      <x:c r="D6" s="14" t="str">
        <x:v>app/api.py; app/adapters.py; app/web/app.js</x:v>
      </x:c>
      <x:c r="E6" s="14" t="str">
        <x:v>GET /api/readiness</x:v>
      </x:c>
      <x:c r="F6" s="14" t="str">
        <x:v>Post-production supervisor</x:v>
      </x:c>
      <x:c r="G6" s="14" t="str">
        <x:v>As a post-production supervisor, I want to know whether evidence is live or controlled, so that I do not mistake test evidence for production proof.</x:v>
      </x:c>
      <x:c r="H6" s="14" t="str">
        <x:v>Always displays LOCAL CONTROLLED or LIVE GRAFANA MCP, health, evidence age, and truthful degradation.</x:v>
      </x:c>
      <x:c r="I6" s="14" t="str">
        <x:v>Implemented as specified; deterministic local mode is explicit, and external live dependencies fail closed.</x:v>
      </x:c>
      <x:c r="J6" s="14" t="str">
        <x:v>Verified</x:v>
      </x:c>
      <x:c r="K6" s="14" t="str">
        <x:v>Integration Test</x:v>
      </x:c>
      <x:c r="L6" s="14" t="str">
        <x:v>Exercise local, live-missing-config, and unavailable modes; assert no local data is labeled live.</x:v>
      </x:c>
      <x:c r="M6" s="14" t="str">
        <x:v>PASSED — automated unit/integration contract covered by the 33-test green quality gate.</x:v>
      </x:c>
      <x:c r="N6" s="14" t="str">
        <x:v>The stock ADK assistant does not implement this tracker-backed CUTLINE story.</x:v>
      </x:c>
      <x:c r="O6" s="14" t="str">
        <x:v>Critical</x:v>
      </x:c>
      <x:c r="P6" s="14" t="str">
        <x:v>Yes</x:v>
      </x:c>
      <x:c r="Q6" s="14" t="str">
        <x:v>Implemented the tracker-backed CUTLINE behavior, invariants, UI state, and regression coverage.</x:v>
      </x:c>
      <x:c r="R6" s="14" t="str">
        <x:v>app/api.py; app/adapters.py; app/web/app.js</x:v>
      </x:c>
      <x:c r="S6" s="14" t="str">
        <x:v>8db728e</x:v>
      </x:c>
      <x:c r="T6" s="14" t="str">
        <x:v>Exercise local, live-missing-config, and unavailable modes; assert no local data is labeled live. Review durable evidence at qa_evidence/commands/final_full_quality_gate_33_tests.log.</x:v>
      </x:c>
      <x:c r="U6" s="14" t="str">
        <x:v>PASSED — automated unit/integration contract covered by the 33-test green quality gate.</x:v>
      </x:c>
      <x:c r="V6" s="14" t="str">
        <x:v>Verified</x:v>
      </x:c>
      <x:c r="W6" s="14" t="str">
        <x:v>No</x:v>
      </x:c>
      <x:c r="X6" s="14" t="str">
        <x:v>Submission truth boundary. Final evidence: qa_evidence/commands/final_full_quality_gate_33_tests.log. Live Grafana MCP transport is protocol-native and contract-tested; hosted credentialed proof remains a deployment-stage gate.</x:v>
      </x:c>
      <x:c r="Y6" s="14" t="str">
        <x:v>/goal create winning spec, execplan, implement it 100% rock solid, 100% test coverage</x:v>
      </x:c>
    </x:row>
    <x:row r="7" ht="22" customHeight="1">
      <x:c r="A7" s="14" t="str">
        <x:v>F-006</x:v>
      </x:c>
      <x:c r="B7" s="14" t="str">
        <x:v>Deadline-risk alert</x:v>
      </x:c>
      <x:c r="C7" s="14" t="str">
        <x:v>Evidence</x:v>
      </x:c>
      <x:c r="D7" s="14" t="str">
        <x:v>app/adapters.py; app/service.py</x:v>
      </x:c>
      <x:c r="E7" s="14" t="str">
        <x:v>POST /api/scenario/investigate</x:v>
      </x:c>
      <x:c r="F7" s="14" t="str">
        <x:v>Post-production supervisor</x:v>
      </x:c>
      <x:c r="G7" s="14" t="str">
        <x:v>As a post-production supervisor, I want to retrieve the active deadline alert, so that the investigation starts from operational truth.</x:v>
      </x:c>
      <x:c r="H7" s="14" t="str">
        <x:v>Returns RenderDeadlineRiskHigh with active run ID, source ID, observed timestamp, and MCP operation in live mode.</x:v>
      </x:c>
      <x:c r="I7" s="14" t="str">
        <x:v>Implemented as specified; deterministic local mode is explicit, and external live dependencies fail closed.</x:v>
      </x:c>
      <x:c r="J7" s="14" t="str">
        <x:v>Verified</x:v>
      </x:c>
      <x:c r="K7" s="14" t="str">
        <x:v>Integration Test</x:v>
      </x:c>
      <x:c r="L7" s="14" t="str">
        <x:v>Investigate failing run; assert alert type, run ID, timestamp, source ID, and adapter operation.</x:v>
      </x:c>
      <x:c r="M7" s="14" t="str">
        <x:v>PASSED — automated unit/integration contract covered by the 33-test green quality gate.</x:v>
      </x:c>
      <x:c r="N7" s="14" t="str">
        <x:v>The stock ADK assistant does not implement this tracker-backed CUTLINE story.</x:v>
      </x:c>
      <x:c r="O7" s="14" t="str">
        <x:v>Critical</x:v>
      </x:c>
      <x:c r="P7" s="14" t="str">
        <x:v>Yes</x:v>
      </x:c>
      <x:c r="Q7" s="14" t="str">
        <x:v>Implemented the tracker-backed CUTLINE behavior, invariants, UI state, and regression coverage.</x:v>
      </x:c>
      <x:c r="R7" s="14" t="str">
        <x:v>app/adapters.py; app/service.py</x:v>
      </x:c>
      <x:c r="S7" s="14" t="str">
        <x:v>8db728e</x:v>
      </x:c>
      <x:c r="T7" s="14" t="str">
        <x:v>Investigate failing run; assert alert type, run ID, timestamp, source ID, and adapter operation. Review durable evidence at qa_evidence/commands/final_full_quality_gate_33_tests.log.</x:v>
      </x:c>
      <x:c r="U7" s="14" t="str">
        <x:v>PASSED — automated unit/integration contract covered by the 33-test green quality gate.</x:v>
      </x:c>
      <x:c r="V7" s="14" t="str">
        <x:v>Verified</x:v>
      </x:c>
      <x:c r="W7" s="14" t="str">
        <x:v>No</x:v>
      </x:c>
      <x:c r="X7" s="14" t="str">
        <x:v>MCP is indispensable in live mode. Final evidence: qa_evidence/commands/final_full_quality_gate_33_tests.log. Live Grafana MCP transport is protocol-native and contract-tested; hosted credentialed proof remains a deployment-stage gate.</x:v>
      </x:c>
      <x:c r="Y7" s="14" t="str">
        <x:v>/goal create winning spec, execplan, implement it 100% rock solid, 100% test coverage</x:v>
      </x:c>
    </x:row>
    <x:row r="8" ht="22" customHeight="1">
      <x:c r="A8" s="14" t="str">
        <x:v>F-007</x:v>
      </x:c>
      <x:c r="B8" s="14" t="str">
        <x:v>Metrics evidence</x:v>
      </x:c>
      <x:c r="C8" s="14" t="str">
        <x:v>Evidence</x:v>
      </x:c>
      <x:c r="D8" s="14" t="str">
        <x:v>app/adapters.py; app/service.py; app/domain.py</x:v>
      </x:c>
      <x:c r="E8" s="14" t="str">
        <x:v>POST /api/scenario/investigate</x:v>
      </x:c>
      <x:c r="F8" s="14" t="str">
        <x:v>Post-production supervisor</x:v>
      </x:c>
      <x:c r="G8" s="14" t="str">
        <x:v>As a post-production supervisor, I want to inspect backlog, throughput, GPU-memory, and retry metrics, so that I can quantify the failure.</x:v>
      </x:c>
      <x:c r="H8" s="14" t="str">
        <x:v>Packet contains 4,800 backlog, 120 frames/min, VRAM saturation, retry growth, query IDs, timestamps, and run binding.</x:v>
      </x:c>
      <x:c r="I8" s="14" t="str">
        <x:v>Implemented as specified; deterministic local mode is explicit, and external live dependencies fail closed.</x:v>
      </x:c>
      <x:c r="J8" s="14" t="str">
        <x:v>Verified</x:v>
      </x:c>
      <x:c r="K8" s="14" t="str">
        <x:v>Integration Test</x:v>
      </x:c>
      <x:c r="L8" s="14" t="str">
        <x:v>Investigate; assert metric values, source metadata, freshness, and run binding.</x:v>
      </x:c>
      <x:c r="M8" s="14" t="str">
        <x:v>PASSED — automated unit/integration contract covered by the 33-test green quality gate.</x:v>
      </x:c>
      <x:c r="N8" s="14" t="str">
        <x:v>The stock ADK assistant does not implement this tracker-backed CUTLINE story.</x:v>
      </x:c>
      <x:c r="O8" s="14" t="str">
        <x:v>Critical</x:v>
      </x:c>
      <x:c r="P8" s="14" t="str">
        <x:v>Yes</x:v>
      </x:c>
      <x:c r="Q8" s="14" t="str">
        <x:v>Implemented the tracker-backed CUTLINE behavior, invariants, UI state, and regression coverage.</x:v>
      </x:c>
      <x:c r="R8" s="14" t="str">
        <x:v>app/adapters.py; app/service.py; app/domain.py</x:v>
      </x:c>
      <x:c r="S8" s="14" t="str">
        <x:v>8db728e</x:v>
      </x:c>
      <x:c r="T8" s="14" t="str">
        <x:v>Investigate; assert metric values, source metadata, freshness, and run binding. Review durable evidence at qa_evidence/commands/final_full_quality_gate_33_tests.log.</x:v>
      </x:c>
      <x:c r="U8" s="14" t="str">
        <x:v>PASSED — automated unit/integration contract covered by the 33-test green quality gate.</x:v>
      </x:c>
      <x:c r="V8" s="14" t="str">
        <x:v>Verified</x:v>
      </x:c>
      <x:c r="W8" s="14" t="str">
        <x:v>No</x:v>
      </x:c>
      <x:c r="X8" s="14" t="str">
        <x:v>Evidence: qa_evidence/commands/baseline_cutline_route_probe.log; qa_evidence/commands/baseline_test_collection.log; qa_evidence/reports/phase_0_orientation.txt. Final evidence: qa_evidence/commands/final_full_quality_gate_33_tests.log. Live Grafana MCP transport is protocol-native and contract-tested; hosted credentialed proof remains a deployment-stage gate.</x:v>
      </x:c>
      <x:c r="Y8" s="14" t="str">
        <x:v>/goal create winning spec, execplan, implement it 100% rock solid, 100% test coverage</x:v>
      </x:c>
    </x:row>
    <x:row r="9" ht="22" customHeight="1">
      <x:c r="A9" s="14" t="str">
        <x:v>F-008</x:v>
      </x:c>
      <x:c r="B9" s="14" t="str">
        <x:v>Logs and trace evidence</x:v>
      </x:c>
      <x:c r="C9" s="14" t="str">
        <x:v>Evidence</x:v>
      </x:c>
      <x:c r="D9" s="14" t="str">
        <x:v>app/adapters.py; app/service.py</x:v>
      </x:c>
      <x:c r="E9" s="14" t="str">
        <x:v>POST /api/scenario/investigate</x:v>
      </x:c>
      <x:c r="F9" s="14" t="str">
        <x:v>Post-production supervisor</x:v>
      </x:c>
      <x:c r="G9" s="14" t="str">
        <x:v>As a post-production supervisor, I want to inspect correlated OOM logs and render traces, so that I can understand why attempts fail.</x:v>
      </x:c>
      <x:c r="H9" s="14" t="str">
        <x:v>Packet includes sanitized CUDA OOM logs and render_shot→texture_load trace evidence with times and shot IDs.</x:v>
      </x:c>
      <x:c r="I9" s="14" t="str">
        <x:v>Implemented as specified; deterministic local mode is explicit, and external live dependencies fail closed.</x:v>
      </x:c>
      <x:c r="J9" s="14" t="str">
        <x:v>Verified</x:v>
      </x:c>
      <x:c r="K9" s="14" t="str">
        <x:v>Integration Test</x:v>
      </x:c>
      <x:c r="L9" s="14" t="str">
        <x:v>Assert log/trace types, sanitization, timestamps, source IDs, and shot correlation; inject malicious text.</x:v>
      </x:c>
      <x:c r="M9" s="14" t="str">
        <x:v>PASSED — automated unit/integration contract covered by the 33-test green quality gate.</x:v>
      </x:c>
      <x:c r="N9" s="14" t="str">
        <x:v>The stock ADK assistant does not implement this tracker-backed CUTLINE story.</x:v>
      </x:c>
      <x:c r="O9" s="14" t="str">
        <x:v>High</x:v>
      </x:c>
      <x:c r="P9" s="14" t="str">
        <x:v>Yes</x:v>
      </x:c>
      <x:c r="Q9" s="14" t="str">
        <x:v>Implemented the tracker-backed CUTLINE behavior, invariants, UI state, and regression coverage.</x:v>
      </x:c>
      <x:c r="R9" s="14" t="str">
        <x:v>app/adapters.py; app/service.py</x:v>
      </x:c>
      <x:c r="S9" s="14" t="str">
        <x:v>8db728e</x:v>
      </x:c>
      <x:c r="T9" s="14" t="str">
        <x:v>Assert log/trace types, sanitization, timestamps, source IDs, and shot correlation; inject malicious text. Review durable evidence at qa_evidence/commands/final_full_quality_gate_33_tests.log.</x:v>
      </x:c>
      <x:c r="U9" s="14" t="str">
        <x:v>PASSED — automated unit/integration contract covered by the 33-test green quality gate.</x:v>
      </x:c>
      <x:c r="V9" s="14" t="str">
        <x:v>Verified</x:v>
      </x:c>
      <x:c r="W9" s="14" t="str">
        <x:v>No</x:v>
      </x:c>
      <x:c r="X9" s="14" t="str">
        <x:v>Tool text is never trusted HTML. Final evidence: qa_evidence/commands/final_full_quality_gate_33_tests.log. Live Grafana MCP transport is protocol-native and contract-tested; hosted credentialed proof remains a deployment-stage gate.</x:v>
      </x:c>
      <x:c r="Y9" s="14" t="str">
        <x:v>/goal create winning spec, execplan, implement it 100% rock solid, 100% test coverage</x:v>
      </x:c>
    </x:row>
    <x:row r="10" ht="22" customHeight="1">
      <x:c r="A10" s="14" t="str">
        <x:v>F-009</x:v>
      </x:c>
      <x:c r="B10" s="14" t="str">
        <x:v>Evidence ledger</x:v>
      </x:c>
      <x:c r="C10" s="14" t="str">
        <x:v>Evidence</x:v>
      </x:c>
      <x:c r="D10" s="14" t="str">
        <x:v>app/web/index.html; app/web/app.js; app/domain.py</x:v>
      </x:c>
      <x:c r="E10" s="14" t="str">
        <x:v>GET /api/scenario</x:v>
      </x:c>
      <x:c r="F10" s="14" t="str">
        <x:v>Post-production supervisor</x:v>
      </x:c>
      <x:c r="G10" s="14" t="str">
        <x:v>As a post-production supervisor, I want to inspect a compact evidence ledger, so that I can audit every conclusion.</x:v>
      </x:c>
      <x:c r="H10" s="14" t="str">
        <x:v>Shows operation, status, timestamp, run, evidence ID, source mode, and concise result for each evidence item.</x:v>
      </x:c>
      <x:c r="I10" s="14" t="str">
        <x:v>Implemented as specified; deterministic local mode is explicit, and external live dependencies fail closed.</x:v>
      </x:c>
      <x:c r="J10" s="14" t="str">
        <x:v>Verified</x:v>
      </x:c>
      <x:c r="K10" s="14" t="str">
        <x:v>Manual UI</x:v>
      </x:c>
      <x:c r="L10" s="14" t="str">
        <x:v>Investigate; inspect row order, labels, run identity, keyboard expansion, and responsive behavior.</x:v>
      </x:c>
      <x:c r="M10" s="14" t="str">
        <x:v>PASSED — desktop and 390x844 browser acceptance completed with screenshots and semantic DOM evidence.</x:v>
      </x:c>
      <x:c r="N10" s="14" t="str">
        <x:v>The stock ADK assistant does not implement this tracker-backed CUTLINE story.</x:v>
      </x:c>
      <x:c r="O10" s="14" t="str">
        <x:v>High</x:v>
      </x:c>
      <x:c r="P10" s="14" t="str">
        <x:v>Yes</x:v>
      </x:c>
      <x:c r="Q10" s="14" t="str">
        <x:v>Implemented the tracker-backed CUTLINE behavior, invariants, UI state, and regression coverage.</x:v>
      </x:c>
      <x:c r="R10" s="14" t="str">
        <x:v>app/web/index.html; app/web/app.js; app/domain.py</x:v>
      </x:c>
      <x:c r="S10" s="14" t="str">
        <x:v>8db728e</x:v>
      </x:c>
      <x:c r="T10" s="14" t="str">
        <x:v>Investigate; inspect row order, labels, run identity, keyboard expansion, and responsive behavior. Review durable evidence at qa_evidence/reports/browser_acceptance_2026_07_31.txt.</x:v>
      </x:c>
      <x:c r="U10" s="14" t="str">
        <x:v>PASSED — desktop and 390x844 browser acceptance completed with screenshots and semantic DOM evidence.</x:v>
      </x:c>
      <x:c r="V10" s="14" t="str">
        <x:v>Verified</x:v>
      </x:c>
      <x:c r="W10" s="14" t="str">
        <x:v>No</x:v>
      </x:c>
      <x:c r="X10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10" s="14" t="str">
        <x:v>/goal create winning spec, execplan, implement it 100% rock solid, 100% test coverage</x:v>
      </x:c>
    </x:row>
    <x:row r="11" ht="22" customHeight="1">
      <x:c r="A11" s="14" t="str">
        <x:v>F-010</x:v>
      </x:c>
      <x:c r="B11" s="14" t="str">
        <x:v>Adversarial diagnosis</x:v>
      </x:c>
      <x:c r="C11" s="14" t="str">
        <x:v>Diagnosis</x:v>
      </x:c>
      <x:c r="D11" s="14" t="str">
        <x:v>app/service.py; app/domain.py</x:v>
      </x:c>
      <x:c r="E11" s="14" t="str">
        <x:v>POST /api/scenario/investigate</x:v>
      </x:c>
      <x:c r="F11" s="14" t="str">
        <x:v>Post-production supervisor</x:v>
      </x:c>
      <x:c r="G11" s="14" t="str">
        <x:v>As a post-production supervisor, I want to see a supported diagnosis with alternative and falsifier, so that I can judge uncertainty without fake precision.</x:v>
      </x:c>
      <x:c r="H11" s="14" t="str">
        <x:v>Shows concurrency/VRAM hypothesis, asset-regression alternative, discriminator, falsifier, evidence refs, and no numeric confidence.</x:v>
      </x:c>
      <x:c r="I11" s="14" t="str">
        <x:v>Implemented as specified; deterministic local mode is explicit, and external live dependencies fail closed.</x:v>
      </x:c>
      <x:c r="J11" s="14" t="str">
        <x:v>Verified</x:v>
      </x:c>
      <x:c r="K11" s="14" t="str">
        <x:v>Automated Test</x:v>
      </x:c>
      <x:c r="L11" s="14" t="str">
        <x:v>Assert structured fields, evidence refs, absence of numeric confidence, and deterministic fallback without Gemini.</x:v>
      </x:c>
      <x:c r="M11" s="14" t="str">
        <x:v>PASSED — automated unit/integration contract covered by the 33-test green quality gate.</x:v>
      </x:c>
      <x:c r="N11" s="14" t="str">
        <x:v>The stock ADK assistant does not implement this tracker-backed CUTLINE story.</x:v>
      </x:c>
      <x:c r="O11" s="14" t="str">
        <x:v>Critical</x:v>
      </x:c>
      <x:c r="P11" s="14" t="str">
        <x:v>Yes</x:v>
      </x:c>
      <x:c r="Q11" s="14" t="str">
        <x:v>Implemented the tracker-backed CUTLINE behavior, invariants, UI state, and regression coverage.</x:v>
      </x:c>
      <x:c r="R11" s="14" t="str">
        <x:v>app/service.py; app/domain.py</x:v>
      </x:c>
      <x:c r="S11" s="14" t="str">
        <x:v>8db728e</x:v>
      </x:c>
      <x:c r="T11" s="14" t="str">
        <x:v>Assert structured fields, evidence refs, absence of numeric confidence, and deterministic fallback without Gemini. Review durable evidence at qa_evidence/commands/final_full_quality_gate_33_tests.log.</x:v>
      </x:c>
      <x:c r="U11" s="14" t="str">
        <x:v>PASSED — automated unit/integration contract covered by the 33-test green quality gate.</x:v>
      </x:c>
      <x:c r="V11" s="14" t="str">
        <x:v>Verified</x:v>
      </x:c>
      <x:c r="W11" s="14" t="str">
        <x:v>No</x:v>
      </x:c>
      <x:c r="X11" s="14" t="str">
        <x:v>LLM prose is evaluated separately. Final evidence: qa_evidence/commands/final_full_quality_gate_33_tests.log.</x:v>
      </x:c>
      <x:c r="Y11" s="14" t="str">
        <x:v>/goal create winning spec, execplan, implement it 100% rock solid, 100% test coverage</x:v>
      </x:c>
    </x:row>
    <x:row r="12" ht="22" customHeight="1">
      <x:c r="A12" s="14" t="str">
        <x:v>F-011</x:v>
      </x:c>
      <x:c r="B12" s="14" t="str">
        <x:v>Deterministic impact calculation</x:v>
      </x:c>
      <x:c r="C12" s="14" t="str">
        <x:v>Impact</x:v>
      </x:c>
      <x:c r="D12" s="14" t="str">
        <x:v>app/domain.py; app/service.py</x:v>
      </x:c>
      <x:c r="E12" s="14" t="str">
        <x:v>GET /api/scenario</x:v>
      </x:c>
      <x:c r="F12" s="14" t="str">
        <x:v>Post-production supervisor</x:v>
      </x:c>
      <x:c r="G12" s="14" t="str">
        <x:v>As a post-production supervisor, I want to expand the deadline arithmetic, so that I can reproduce the estimate.</x:v>
      </x:c>
      <x:c r="H12" s="14" t="str">
        <x:v>Shows 4800/24=200 minimum; 200*1.20=240 safe target; 4800/120=40; 24-40=-16.</x:v>
      </x:c>
      <x:c r="I12" s="14" t="str">
        <x:v>Implemented as specified; deterministic local mode is explicit, and external live dependencies fail closed.</x:v>
      </x:c>
      <x:c r="J12" s="14" t="str">
        <x:v>Verified</x:v>
      </x:c>
      <x:c r="K12" s="14" t="str">
        <x:v>Automated Test</x:v>
      </x:c>
      <x:c r="L12" s="14" t="str">
        <x:v>Unit test normal/edge Decimal inputs; integration checks derivation labels; browser expands formulas.</x:v>
      </x:c>
      <x:c r="M12" s="14" t="str">
        <x:v>PASSED — automated unit/integration contract covered by the 33-test green quality gate.</x:v>
      </x:c>
      <x:c r="N12" s="14" t="str">
        <x:v>The stock ADK assistant does not implement this tracker-backed CUTLINE story.</x:v>
      </x:c>
      <x:c r="O12" s="14" t="str">
        <x:v>Critical</x:v>
      </x:c>
      <x:c r="P12" s="14" t="str">
        <x:v>Yes</x:v>
      </x:c>
      <x:c r="Q12" s="14" t="str">
        <x:v>Implemented the tracker-backed CUTLINE behavior, invariants, UI state, and regression coverage.</x:v>
      </x:c>
      <x:c r="R12" s="14" t="str">
        <x:v>app/domain.py; app/service.py</x:v>
      </x:c>
      <x:c r="S12" s="14" t="str">
        <x:v>8db728e</x:v>
      </x:c>
      <x:c r="T12" s="14" t="str">
        <x:v>Unit test normal/edge Decimal inputs; integration checks derivation labels; browser expands formulas. Review durable evidence at qa_evidence/commands/final_full_quality_gate_33_tests.log.</x:v>
      </x:c>
      <x:c r="U12" s="14" t="str">
        <x:v>PASSED — automated unit/integration contract covered by the 33-test green quality gate.</x:v>
      </x:c>
      <x:c r="V12" s="14" t="str">
        <x:v>Verified</x:v>
      </x:c>
      <x:c r="W12" s="14" t="str">
        <x:v>No</x:v>
      </x:c>
      <x:c r="X12" s="14" t="str">
        <x:v>Gemini never owns arithmetic. Final evidence: qa_evidence/commands/final_full_quality_gate_33_tests.log.</x:v>
      </x:c>
      <x:c r="Y12" s="14" t="str">
        <x:v>/goal create winning spec, execplan, implement it 100% rock solid, 100% test coverage</x:v>
      </x:c>
    </x:row>
    <x:row r="13" ht="22" customHeight="1">
      <x:c r="A13" s="14" t="str">
        <x:v>F-012</x:v>
      </x:c>
      <x:c r="B13" s="14" t="str">
        <x:v>Recovery proposal</x:v>
      </x:c>
      <x:c r="C13" s="14" t="str">
        <x:v>Approval</x:v>
      </x:c>
      <x:c r="D13" s="14" t="str">
        <x:v>app/service.py; app/domain.py; app/web/app.js</x:v>
      </x:c>
      <x:c r="E13" s="14" t="str">
        <x:v>GET /api/scenario</x:v>
      </x:c>
      <x:c r="F13" s="14" t="str">
        <x:v>Post-production supervisor</x:v>
      </x:c>
      <x:c r="G13" s="14" t="str">
        <x:v>As a post-production supervisor, I want to review one bounded recovery proposal, so that I can make a controlled decision.</x:v>
      </x:c>
      <x:c r="H13" s="14" t="str">
        <x:v>Shows allowlisted version, concurrency 3→1, four workers, SQ-42 scope, $18 scenario cost, rollback, stop condition, and evidence refs.</x:v>
      </x:c>
      <x:c r="I13" s="14" t="str">
        <x:v>Implemented as specified; deterministic local mode is explicit, and external live dependencies fail closed.</x:v>
      </x:c>
      <x:c r="J13" s="14" t="str">
        <x:v>Verified</x:v>
      </x:c>
      <x:c r="K13" s="14" t="str">
        <x:v>Integration Test</x:v>
      </x:c>
      <x:c r="L13" s="14" t="str">
        <x:v>Inspect proposal schema and policy; mutate each parameter outside bounds and assert rejection.</x:v>
      </x:c>
      <x:c r="M13" s="14" t="str">
        <x:v>PASSED — automated unit/integration contract covered by the 33-test green quality gate.</x:v>
      </x:c>
      <x:c r="N13" s="14" t="str">
        <x:v>The stock ADK assistant does not implement this tracker-backed CUTLINE story.</x:v>
      </x:c>
      <x:c r="O13" s="14" t="str">
        <x:v>Critical</x:v>
      </x:c>
      <x:c r="P13" s="14" t="str">
        <x:v>Yes</x:v>
      </x:c>
      <x:c r="Q13" s="14" t="str">
        <x:v>Implemented the tracker-backed CUTLINE behavior, invariants, UI state, and regression coverage.</x:v>
      </x:c>
      <x:c r="R13" s="14" t="str">
        <x:v>app/service.py; app/domain.py; app/web/app.js</x:v>
      </x:c>
      <x:c r="S13" s="14" t="str">
        <x:v>8db728e</x:v>
      </x:c>
      <x:c r="T13" s="14" t="str">
        <x:v>Inspect proposal schema and policy; mutate each parameter outside bounds and assert rejection. Review durable evidence at qa_evidence/commands/final_full_quality_gate_33_tests.log.</x:v>
      </x:c>
      <x:c r="U13" s="14" t="str">
        <x:v>PASSED — automated unit/integration contract covered by the 33-test green quality gate.</x:v>
      </x:c>
      <x:c r="V13" s="14" t="str">
        <x:v>Verified</x:v>
      </x:c>
      <x:c r="W13" s="14" t="str">
        <x:v>No</x:v>
      </x:c>
      <x:c r="X13" s="14" t="str">
        <x:v>No arbitrary remediation generation. Final evidence: qa_evidence/commands/final_full_quality_gate_33_tests.log.</x:v>
      </x:c>
      <x:c r="Y13" s="14" t="str">
        <x:v>/goal create winning spec, execplan, implement it 100% rock solid, 100% test coverage</x:v>
      </x:c>
    </x:row>
    <x:row r="14" ht="22" customHeight="1">
      <x:c r="A14" s="14" t="str">
        <x:v>F-013</x:v>
      </x:c>
      <x:c r="B14" s="14" t="str">
        <x:v>Approve recovery</x:v>
      </x:c>
      <x:c r="C14" s="14" t="str">
        <x:v>Approval</x:v>
      </x:c>
      <x:c r="D14" s="14" t="str">
        <x:v>app/api.py; app/service.py; app/web/app.js</x:v>
      </x:c>
      <x:c r="E14" s="14" t="str">
        <x:v>POST /api/scenario/approve</x:v>
      </x:c>
      <x:c r="F14" s="14" t="str">
        <x:v>Post-production supervisor</x:v>
      </x:c>
      <x:c r="G14" s="14" t="str">
        <x:v>As a post-production supervisor, I want to approve the bounded recovery intentionally, so that no change occurs without my authorization.</x:v>
      </x:c>
      <x:c r="H14" s="14" t="str">
        <x:v>Creates an approval ID bound to active run, proposal, parameters, approver, timestamp, and expiry.</x:v>
      </x:c>
      <x:c r="I14" s="14" t="str">
        <x:v>Implemented as specified; deterministic local mode is explicit, and external live dependencies fail closed.</x:v>
      </x:c>
      <x:c r="J14" s="14" t="str">
        <x:v>Verified</x:v>
      </x:c>
      <x:c r="K14" s="14" t="str">
        <x:v>Integration Test</x:v>
      </x:c>
      <x:c r="L14" s="14" t="str">
        <x:v>Approve current proposal; test wrong run, proposal, expired approval, and duplicate click.</x:v>
      </x:c>
      <x:c r="M14" s="14" t="str">
        <x:v>PASSED — automated unit/integration contract covered by the 33-test green quality gate.</x:v>
      </x:c>
      <x:c r="N14" s="14" t="str">
        <x:v>The stock ADK assistant does not implement this tracker-backed CUTLINE story.</x:v>
      </x:c>
      <x:c r="O14" s="14" t="str">
        <x:v>Critical</x:v>
      </x:c>
      <x:c r="P14" s="14" t="str">
        <x:v>Yes</x:v>
      </x:c>
      <x:c r="Q14" s="14" t="str">
        <x:v>Implemented the tracker-backed CUTLINE behavior, invariants, UI state, and regression coverage.</x:v>
      </x:c>
      <x:c r="R14" s="14" t="str">
        <x:v>app/api.py; app/service.py; app/web/app.js</x:v>
      </x:c>
      <x:c r="S14" s="14" t="str">
        <x:v>8db728e</x:v>
      </x:c>
      <x:c r="T14" s="14" t="str">
        <x:v>Approve current proposal; test wrong run, proposal, expired approval, and duplicate click. Review durable evidence at qa_evidence/commands/final_full_quality_gate_33_tests.log.</x:v>
      </x:c>
      <x:c r="U14" s="14" t="str">
        <x:v>PASSED — automated unit/integration contract covered by the 33-test green quality gate.</x:v>
      </x:c>
      <x:c r="V14" s="14" t="str">
        <x:v>Verified</x:v>
      </x:c>
      <x:c r="W14" s="14" t="str">
        <x:v>No</x:v>
      </x:c>
      <x:c r="X14" s="14" t="str">
        <x:v>Consequential action gate. Final evidence: qa_evidence/commands/final_full_quality_gate_33_tests.log.</x:v>
      </x:c>
      <x:c r="Y14" s="14" t="str">
        <x:v>/goal create winning spec, execplan, implement it 100% rock solid, 100% test coverage</x:v>
      </x:c>
    </x:row>
    <x:row r="15" ht="22" customHeight="1">
      <x:c r="A15" s="14" t="str">
        <x:v>F-014</x:v>
      </x:c>
      <x:c r="B15" s="14" t="str">
        <x:v>Reject recovery</x:v>
      </x:c>
      <x:c r="C15" s="14" t="str">
        <x:v>Approval</x:v>
      </x:c>
      <x:c r="D15" s="14" t="str">
        <x:v>app/api.py; app/service.py; app/web/app.js</x:v>
      </x:c>
      <x:c r="E15" s="14" t="str">
        <x:v>POST /api/scenario/reject</x:v>
      </x:c>
      <x:c r="F15" s="14" t="str">
        <x:v>Post-production supervisor</x:v>
      </x:c>
      <x:c r="G15" s="14" t="str">
        <x:v>As a post-production supervisor, I want to reject the recovery, so that the incident stays unchanged and my decision is recorded.</x:v>
      </x:c>
      <x:c r="H15" s="14" t="str">
        <x:v>Records reason/time, enters REJECTED, and creates no action or configuration change.</x:v>
      </x:c>
      <x:c r="I15" s="14" t="str">
        <x:v>Implemented as specified; deterministic local mode is explicit, and external live dependencies fail closed.</x:v>
      </x:c>
      <x:c r="J15" s="14" t="str">
        <x:v>Verified</x:v>
      </x:c>
      <x:c r="K15" s="14" t="str">
        <x:v>Integration Test</x:v>
      </x:c>
      <x:c r="L15" s="14" t="str">
        <x:v>Reject; assert state, unchanged config, no receipt, and audit event.</x:v>
      </x:c>
      <x:c r="M15" s="14" t="str">
        <x:v>PASSED — automated unit/integration contract covered by the 33-test green quality gate.</x:v>
      </x:c>
      <x:c r="N15" s="14" t="str">
        <x:v>The stock ADK assistant does not implement this tracker-backed CUTLINE story.</x:v>
      </x:c>
      <x:c r="O15" s="14" t="str">
        <x:v>High</x:v>
      </x:c>
      <x:c r="P15" s="14" t="str">
        <x:v>Yes</x:v>
      </x:c>
      <x:c r="Q15" s="14" t="str">
        <x:v>Implemented the tracker-backed CUTLINE behavior, invariants, UI state, and regression coverage.</x:v>
      </x:c>
      <x:c r="R15" s="14" t="str">
        <x:v>app/api.py; app/service.py; app/web/app.js</x:v>
      </x:c>
      <x:c r="S15" s="14" t="str">
        <x:v>8db728e</x:v>
      </x:c>
      <x:c r="T15" s="14" t="str">
        <x:v>Reject; assert state, unchanged config, no receipt, and audit event. Review durable evidence at qa_evidence/commands/final_full_quality_gate_33_tests.log.</x:v>
      </x:c>
      <x:c r="U15" s="14" t="str">
        <x:v>PASSED — automated unit/integration contract covered by the 33-test green quality gate.</x:v>
      </x:c>
      <x:c r="V15" s="14" t="str">
        <x:v>Verified</x:v>
      </x:c>
      <x:c r="W15" s="14" t="str">
        <x:v>No</x:v>
      </x:c>
      <x:c r="X15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15" s="14" t="str">
        <x:v>/goal create winning spec, execplan, implement it 100% rock solid, 100% test coverage</x:v>
      </x:c>
    </x:row>
    <x:row r="16" ht="22" customHeight="1">
      <x:c r="A16" s="14" t="str">
        <x:v>F-015</x:v>
      </x:c>
      <x:c r="B16" s="14" t="str">
        <x:v>Idempotent execution</x:v>
      </x:c>
      <x:c r="C16" s="14" t="str">
        <x:v>Execution</x:v>
      </x:c>
      <x:c r="D16" s="14" t="str">
        <x:v>app/service.py; app/api.py</x:v>
      </x:c>
      <x:c r="E16" s="14" t="str">
        <x:v>POST /api/scenario/execute</x:v>
      </x:c>
      <x:c r="F16" s="14" t="str">
        <x:v>Post-production supervisor</x:v>
      </x:c>
      <x:c r="G16" s="14" t="str">
        <x:v>As a post-production supervisor, I want to retry an execution request safely, so that network retries cannot apply recovery twice.</x:v>
      </x:c>
      <x:c r="H16" s="14" t="str">
        <x:v>One approved request creates one action; duplicate key returns same receipt; later keys cannot reapply it.</x:v>
      </x:c>
      <x:c r="I16" s="14" t="str">
        <x:v>Implemented as specified; deterministic local mode is explicit, and external live dependencies fail closed.</x:v>
      </x:c>
      <x:c r="J16" s="14" t="str">
        <x:v>Verified</x:v>
      </x:c>
      <x:c r="K16" s="14" t="str">
        <x:v>Automated Test</x:v>
      </x:c>
      <x:c r="L16" s="14" t="str">
        <x:v>Execute same key twice and another key once; assert one transition, one action, stable receipt.</x:v>
      </x:c>
      <x:c r="M16" s="14" t="str">
        <x:v>PASSED — automated unit/integration contract covered by the 33-test green quality gate.</x:v>
      </x:c>
      <x:c r="N16" s="14" t="str">
        <x:v>The stock ADK assistant does not implement this tracker-backed CUTLINE story.</x:v>
      </x:c>
      <x:c r="O16" s="14" t="str">
        <x:v>Critical</x:v>
      </x:c>
      <x:c r="P16" s="14" t="str">
        <x:v>Yes</x:v>
      </x:c>
      <x:c r="Q16" s="14" t="str">
        <x:v>Implemented the tracker-backed CUTLINE behavior, invariants, UI state, and regression coverage.</x:v>
      </x:c>
      <x:c r="R16" s="14" t="str">
        <x:v>app/service.py; app/api.py</x:v>
      </x:c>
      <x:c r="S16" s="14" t="str">
        <x:v>8db728e</x:v>
      </x:c>
      <x:c r="T16" s="14" t="str">
        <x:v>Execute same key twice and another key once; assert one transition, one action, stable receipt. Review durable evidence at qa_evidence/commands/final_full_quality_gate_33_tests.log.</x:v>
      </x:c>
      <x:c r="U16" s="14" t="str">
        <x:v>PASSED — automated unit/integration contract covered by the 33-test green quality gate.</x:v>
      </x:c>
      <x:c r="V16" s="14" t="str">
        <x:v>Verified</x:v>
      </x:c>
      <x:c r="W16" s="14" t="str">
        <x:v>No</x:v>
      </x:c>
      <x:c r="X16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16" s="14" t="str">
        <x:v>/goal create winning spec, execplan, implement it 100% rock solid, 100% test coverage</x:v>
      </x:c>
    </x:row>
    <x:row r="17" ht="22" customHeight="1">
      <x:c r="A17" s="14" t="str">
        <x:v>F-016</x:v>
      </x:c>
      <x:c r="B17" s="14" t="str">
        <x:v>Execution receipt and transition</x:v>
      </x:c>
      <x:c r="C17" s="14" t="str">
        <x:v>Execution</x:v>
      </x:c>
      <x:c r="D17" s="14" t="str">
        <x:v>app/service.py; app/domain.py; app/web/app.js</x:v>
      </x:c>
      <x:c r="E17" s="14" t="str">
        <x:v>POST /api/scenario/execute</x:v>
      </x:c>
      <x:c r="F17" s="14" t="str">
        <x:v>Post-production supervisor</x:v>
      </x:c>
      <x:c r="G17" s="14" t="str">
        <x:v>As a post-production supervisor, I want to see a receipt and configuration transition, so that I can distinguish execution from verified recovery.</x:v>
      </x:c>
      <x:c r="H17" s="14" t="str">
        <x:v>Shows approval/action IDs, executor mode, times, concurrency 3→1, reserve 0→4, status, annotation; remains unverified.</x:v>
      </x:c>
      <x:c r="I17" s="14" t="str">
        <x:v>Implemented as specified; deterministic local mode is explicit, and external live dependencies fail closed.</x:v>
      </x:c>
      <x:c r="J17" s="14" t="str">
        <x:v>Verified</x:v>
      </x:c>
      <x:c r="K17" s="14" t="str">
        <x:v>Integration Test</x:v>
      </x:c>
      <x:c r="L17" s="14" t="str">
        <x:v>Execute approved plan; assert receipt, transition, annotation, and not VERIFIED.</x:v>
      </x:c>
      <x:c r="M17" s="14" t="str">
        <x:v>PASSED — automated unit/integration contract covered by the 33-test green quality gate.</x:v>
      </x:c>
      <x:c r="N17" s="14" t="str">
        <x:v>The stock ADK assistant does not implement this tracker-backed CUTLINE story.</x:v>
      </x:c>
      <x:c r="O17" s="14" t="str">
        <x:v>Critical</x:v>
      </x:c>
      <x:c r="P17" s="14" t="str">
        <x:v>Yes</x:v>
      </x:c>
      <x:c r="Q17" s="14" t="str">
        <x:v>Implemented the tracker-backed CUTLINE behavior, invariants, UI state, and regression coverage.</x:v>
      </x:c>
      <x:c r="R17" s="14" t="str">
        <x:v>app/service.py; app/domain.py; app/web/app.js</x:v>
      </x:c>
      <x:c r="S17" s="14" t="str">
        <x:v>8db728e</x:v>
      </x:c>
      <x:c r="T17" s="14" t="str">
        <x:v>Execute approved plan; assert receipt, transition, annotation, and not VERIFIED. Review durable evidence at qa_evidence/commands/final_full_quality_gate_33_tests.log.</x:v>
      </x:c>
      <x:c r="U17" s="14" t="str">
        <x:v>PASSED — automated unit/integration contract covered by the 33-test green quality gate.</x:v>
      </x:c>
      <x:c r="V17" s="14" t="str">
        <x:v>Verified</x:v>
      </x:c>
      <x:c r="W17" s="14" t="str">
        <x:v>No</x:v>
      </x:c>
      <x:c r="X17" s="14" t="str">
        <x:v>Receipt proves execution only. Final evidence: qa_evidence/commands/final_full_quality_gate_33_tests.log.</x:v>
      </x:c>
      <x:c r="Y17" s="14" t="str">
        <x:v>/goal create winning spec, execplan, implement it 100% rock solid, 100% test coverage</x:v>
      </x:c>
    </x:row>
    <x:row r="18" ht="22" customHeight="1">
      <x:c r="A18" s="14" t="str">
        <x:v>F-017</x:v>
      </x:c>
      <x:c r="B18" s="14" t="str">
        <x:v>Fresh recovery verification</x:v>
      </x:c>
      <x:c r="C18" s="14" t="str">
        <x:v>Verification</x:v>
      </x:c>
      <x:c r="D18" s="14" t="str">
        <x:v>app/service.py; app/adapters.py; app/domain.py</x:v>
      </x:c>
      <x:c r="E18" s="14" t="str">
        <x:v>POST /api/scenario/verify</x:v>
      </x:c>
      <x:c r="F18" s="14" t="str">
        <x:v>Post-production supervisor</x:v>
      </x:c>
      <x:c r="G18" s="14" t="str">
        <x:v>As a post-production supervisor, I want to verify recovery from later Grafana evidence, so that success reflects observation rather than animation.</x:v>
      </x:c>
      <x:c r="H18" s="14" t="str">
        <x:v>Requires later same-run evidence, config 1/4, lower VRAM/retries, &gt;=240 throughput, 320 observed, and 9 minutes early.</x:v>
      </x:c>
      <x:c r="I18" s="14" t="str">
        <x:v>Implemented as specified; deterministic local mode is explicit, and external live dependencies fail closed.</x:v>
      </x:c>
      <x:c r="J18" s="14" t="str">
        <x:v>Verified</x:v>
      </x:c>
      <x:c r="K18" s="14" t="str">
        <x:v>Integration Test</x:v>
      </x:c>
      <x:c r="L18" s="14" t="str">
        <x:v>Execute then verify; assert later timestamp, same run, all gates, 320 throughput, 15-minute completion, 9 early, VERIFIED.</x:v>
      </x:c>
      <x:c r="M18" s="14" t="str">
        <x:v>PASSED — automated unit/integration contract covered by the 33-test green quality gate.</x:v>
      </x:c>
      <x:c r="N18" s="14" t="str">
        <x:v>The stock ADK assistant does not implement this tracker-backed CUTLINE story.</x:v>
      </x:c>
      <x:c r="O18" s="14" t="str">
        <x:v>Critical</x:v>
      </x:c>
      <x:c r="P18" s="14" t="str">
        <x:v>Yes</x:v>
      </x:c>
      <x:c r="Q18" s="14" t="str">
        <x:v>Implemented the tracker-backed CUTLINE behavior, invariants, UI state, and regression coverage.</x:v>
      </x:c>
      <x:c r="R18" s="14" t="str">
        <x:v>app/service.py; app/adapters.py; app/domain.py</x:v>
      </x:c>
      <x:c r="S18" s="14" t="str">
        <x:v>8db728e</x:v>
      </x:c>
      <x:c r="T18" s="14" t="str">
        <x:v>Execute then verify; assert later timestamp, same run, all gates, 320 throughput, 15-minute completion, 9 early, VERIFIED. Review durable evidence at qa_evidence/commands/final_full_quality_gate_33_tests.log.</x:v>
      </x:c>
      <x:c r="U18" s="14" t="str">
        <x:v>PASSED — automated unit/integration contract covered by the 33-test green quality gate.</x:v>
      </x:c>
      <x:c r="V18" s="14" t="str">
        <x:v>Verified</x:v>
      </x:c>
      <x:c r="W18" s="14" t="str">
        <x:v>No</x:v>
      </x:c>
      <x:c r="X18" s="14" t="str">
        <x:v>Single memorable reveal. Final evidence: qa_evidence/commands/final_full_quality_gate_33_tests.log.</x:v>
      </x:c>
      <x:c r="Y18" s="14" t="str">
        <x:v>/goal create winning spec, execplan, implement it 100% rock solid, 100% test coverage</x:v>
      </x:c>
    </x:row>
    <x:row r="19" ht="22" customHeight="1">
      <x:c r="A19" s="14" t="str">
        <x:v>F-018</x:v>
      </x:c>
      <x:c r="B19" s="14" t="str">
        <x:v>Verification failure</x:v>
      </x:c>
      <x:c r="C19" s="14" t="str">
        <x:v>Verification</x:v>
      </x:c>
      <x:c r="D19" s="14" t="str">
        <x:v>app/service.py; app/adapters.py</x:v>
      </x:c>
      <x:c r="E19" s="14" t="str">
        <x:v>POST /api/scenario/verify</x:v>
      </x:c>
      <x:c r="F19" s="14" t="str">
        <x:v>Post-production supervisor</x:v>
      </x:c>
      <x:c r="G19" s="14" t="str">
        <x:v>As a post-production supervisor, I want to see failed stability gates honestly, so that execution is not mistaken for recovery.</x:v>
      </x:c>
      <x:c r="H19" s="14" t="str">
        <x:v>Below-safe throughput, OOM, stale time, wrong run, or malformed evidence yields UNVERIFIED/BLOCKED and no green state.</x:v>
      </x:c>
      <x:c r="I19" s="14" t="str">
        <x:v>Implemented as specified; deterministic local mode is explicit, and external live dependencies fail closed.</x:v>
      </x:c>
      <x:c r="J19" s="14" t="str">
        <x:v>Verified</x:v>
      </x:c>
      <x:c r="K19" s="14" t="str">
        <x:v>Integration Test</x:v>
      </x:c>
      <x:c r="L19" s="14" t="str">
        <x:v>Parameterize below 240, OOM, stale, wrong-run, and malformed fixtures; assert explicit failed gates.</x:v>
      </x:c>
      <x:c r="M19" s="14" t="str">
        <x:v>PASSED — automated unit/integration contract covered by the 33-test green quality gate.</x:v>
      </x:c>
      <x:c r="N19" s="14" t="str">
        <x:v>The stock ADK assistant does not implement this tracker-backed CUTLINE story.</x:v>
      </x:c>
      <x:c r="O19" s="14" t="str">
        <x:v>Critical</x:v>
      </x:c>
      <x:c r="P19" s="14" t="str">
        <x:v>Yes</x:v>
      </x:c>
      <x:c r="Q19" s="14" t="str">
        <x:v>Implemented the tracker-backed CUTLINE behavior, invariants, UI state, and regression coverage.</x:v>
      </x:c>
      <x:c r="R19" s="14" t="str">
        <x:v>app/service.py; app/adapters.py</x:v>
      </x:c>
      <x:c r="S19" s="14" t="str">
        <x:v>8db728e</x:v>
      </x:c>
      <x:c r="T19" s="14" t="str">
        <x:v>Parameterize below 240, OOM, stale, wrong-run, and malformed fixtures; assert explicit failed gates. Review durable evidence at qa_evidence/commands/final_full_quality_gate_33_tests.log.</x:v>
      </x:c>
      <x:c r="U19" s="14" t="str">
        <x:v>PASSED — automated unit/integration contract covered by the 33-test green quality gate.</x:v>
      </x:c>
      <x:c r="V19" s="14" t="str">
        <x:v>Verified</x:v>
      </x:c>
      <x:c r="W19" s="14" t="str">
        <x:v>No</x:v>
      </x:c>
      <x:c r="X19" s="14" t="str">
        <x:v>Fail-closed contract. Final evidence: qa_evidence/commands/final_full_quality_gate_33_tests.log.</x:v>
      </x:c>
      <x:c r="Y19" s="14" t="str">
        <x:v>/goal create winning spec, execplan, implement it 100% rock solid, 100% test coverage</x:v>
      </x:c>
    </x:row>
    <x:row r="20" ht="22" customHeight="1">
      <x:c r="A20" s="14" t="str">
        <x:v>F-019</x:v>
      </x:c>
      <x:c r="B20" s="14" t="str">
        <x:v>Grafana MCP unavailable state</x:v>
      </x:c>
      <x:c r="C20" s="14" t="str">
        <x:v>Failure Handling</x:v>
      </x:c>
      <x:c r="D20" s="14" t="str">
        <x:v>app/adapters.py; app/service.py; app/api.py</x:v>
      </x:c>
      <x:c r="E20" s="14" t="str">
        <x:v>POST /api/scenario/investigate</x:v>
      </x:c>
      <x:c r="F20" s="14" t="str">
        <x:v>Post-production supervisor</x:v>
      </x:c>
      <x:c r="G20" s="14" t="str">
        <x:v>As a post-production supervisor, I want to see MCP outages without fabricated answers, so that I do not act on unsupported evidence.</x:v>
      </x:c>
      <x:c r="H20" s="14" t="str">
        <x:v>Live MCP failure says evidence unavailable, blocks diagnosis/proposal, labels prior evidence, and offers retry/reset.</x:v>
      </x:c>
      <x:c r="I20" s="14" t="str">
        <x:v>Implemented as specified; deterministic local mode is explicit, and external live dependencies fail closed.</x:v>
      </x:c>
      <x:c r="J20" s="14" t="str">
        <x:v>Verified</x:v>
      </x:c>
      <x:c r="K20" s="14" t="str">
        <x:v>Integration Test</x:v>
      </x:c>
      <x:c r="L20" s="14" t="str">
        <x:v>Run live adapter without config and timeout fixture; assert BLOCKED, no proposal, no local fallback.</x:v>
      </x:c>
      <x:c r="M20" s="14" t="str">
        <x:v>PASSED — automated unit/integration contract covered by the 33-test green quality gate.</x:v>
      </x:c>
      <x:c r="N20" s="14" t="str">
        <x:v>The stock ADK assistant does not implement this tracker-backed CUTLINE story.</x:v>
      </x:c>
      <x:c r="O20" s="14" t="str">
        <x:v>Critical</x:v>
      </x:c>
      <x:c r="P20" s="14" t="str">
        <x:v>Yes</x:v>
      </x:c>
      <x:c r="Q20" s="14" t="str">
        <x:v>Implemented the tracker-backed CUTLINE behavior, invariants, UI state, and regression coverage.</x:v>
      </x:c>
      <x:c r="R20" s="14" t="str">
        <x:v>app/adapters.py; app/service.py; app/api.py</x:v>
      </x:c>
      <x:c r="S20" s="14" t="str">
        <x:v>8db728e</x:v>
      </x:c>
      <x:c r="T20" s="14" t="str">
        <x:v>Run live adapter without config and timeout fixture; assert BLOCKED, no proposal, no local fallback. Review durable evidence at qa_evidence/commands/final_full_quality_gate_33_tests.log.</x:v>
      </x:c>
      <x:c r="U20" s="14" t="str">
        <x:v>PASSED — automated unit/integration contract covered by the 33-test green quality gate.</x:v>
      </x:c>
      <x:c r="V20" s="14" t="str">
        <x:v>Verified</x:v>
      </x:c>
      <x:c r="W20" s="14" t="str">
        <x:v>No</x:v>
      </x:c>
      <x:c r="X20" s="14" t="str">
        <x:v>Evidence: qa_evidence/commands/baseline_cutline_route_probe.log; qa_evidence/commands/baseline_test_collection.log; qa_evidence/reports/phase_0_orientation.txt. Final evidence: qa_evidence/commands/final_full_quality_gate_33_tests.log. Live Grafana MCP transport is protocol-native and contract-tested; hosted credentialed proof remains a deployment-stage gate.</x:v>
      </x:c>
      <x:c r="Y20" s="14" t="str">
        <x:v>/goal create winning spec, execplan, implement it 100% rock solid, 100% test coverage</x:v>
      </x:c>
    </x:row>
    <x:row r="21">
      <x:c r="A21" s="14" t="str">
        <x:v>F-020</x:v>
      </x:c>
      <x:c r="B21" s="14" t="str">
        <x:v>Action failure state</x:v>
      </x:c>
      <x:c r="C21" s="14" t="str">
        <x:v>Failure Handling</x:v>
      </x:c>
      <x:c r="D21" s="14" t="str">
        <x:v>app/adapters.py; app/service.py; app/api.py</x:v>
      </x:c>
      <x:c r="E21" s="14" t="str">
        <x:v>POST /api/scenario/execute</x:v>
      </x:c>
      <x:c r="F21" s="14" t="str">
        <x:v>Post-production supervisor</x:v>
      </x:c>
      <x:c r="G21" s="14" t="str">
        <x:v>As a post-production supervisor, I want to see action failure and retry safely, so that a failed request cannot look successful.</x:v>
      </x:c>
      <x:c r="H21" s="14" t="str">
        <x:v>Creates failed receipt, leaves incident active, skips verification, and applies idempotent retry policy.</x:v>
      </x:c>
      <x:c r="I21" s="14" t="str">
        <x:v>Implemented as specified; deterministic local mode is explicit, and external live dependencies fail closed.</x:v>
      </x:c>
      <x:c r="J21" s="14" t="str">
        <x:v>Verified</x:v>
      </x:c>
      <x:c r="K21" s="14" t="str">
        <x:v>Integration Test</x:v>
      </x:c>
      <x:c r="L21" s="14" t="str">
        <x:v>Inject executor failure; assert FAILED receipt/state, no transition/verification; retry same key.</x:v>
      </x:c>
      <x:c r="M21" s="14" t="str">
        <x:v>PASSED — automated unit/integration contract covered by the 33-test green quality gate.</x:v>
      </x:c>
      <x:c r="N21" s="14" t="str">
        <x:v>The stock ADK assistant does not implement this tracker-backed CUTLINE story.</x:v>
      </x:c>
      <x:c r="O21" s="14" t="str">
        <x:v>Critical</x:v>
      </x:c>
      <x:c r="P21" s="14" t="str">
        <x:v>Yes</x:v>
      </x:c>
      <x:c r="Q21" s="14" t="str">
        <x:v>Implemented the tracker-backed CUTLINE behavior, invariants, UI state, and regression coverage.</x:v>
      </x:c>
      <x:c r="R21" s="14" t="str">
        <x:v>app/adapters.py; app/service.py; app/api.py</x:v>
      </x:c>
      <x:c r="S21" s="14" t="str">
        <x:v>8db728e</x:v>
      </x:c>
      <x:c r="T21" s="14" t="str">
        <x:v>Inject executor failure; assert FAILED receipt/state, no transition/verification; retry same key. Review durable evidence at qa_evidence/commands/final_full_quality_gate_33_tests.log.</x:v>
      </x:c>
      <x:c r="U21" s="14" t="str">
        <x:v>PASSED — automated unit/integration contract covered by the 33-test green quality gate.</x:v>
      </x:c>
      <x:c r="V21" s="14" t="str">
        <x:v>Verified</x:v>
      </x:c>
      <x:c r="W21" s="14" t="str">
        <x:v>No</x:v>
      </x:c>
      <x:c r="X21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21" s="14" t="str">
        <x:v>/goal create winning spec, execplan, implement it 100% rock solid, 100% test coverage</x:v>
      </x:c>
    </x:row>
    <x:row r="22">
      <x:c r="A22" s="14" t="str">
        <x:v>F-021</x:v>
      </x:c>
      <x:c r="B22" s="14" t="str">
        <x:v>Prior-run evidence labeling</x:v>
      </x:c>
      <x:c r="C22" s="14" t="str">
        <x:v>Audit</x:v>
      </x:c>
      <x:c r="D22" s="14" t="str">
        <x:v>app/service.py; app/domain.py</x:v>
      </x:c>
      <x:c r="E22" s="14" t="str">
        <x:v>POST /api/scenario/reset; GET /api/audit</x:v>
      </x:c>
      <x:c r="F22" s="14" t="str">
        <x:v>Post-production supervisor</x:v>
      </x:c>
      <x:c r="G22" s="14" t="str">
        <x:v>As a post-production supervisor, I want to see prior-run evidence separated, so that old proof cannot satisfy the current incident.</x:v>
      </x:c>
      <x:c r="H22" s="14" t="str">
        <x:v>Reset archives prior audit as PRIOR RUN and excludes it from current diagnosis and verification.</x:v>
      </x:c>
      <x:c r="I22" s="14" t="str">
        <x:v>Implemented as specified; deterministic local mode is explicit, and external live dependencies fail closed.</x:v>
      </x:c>
      <x:c r="J22" s="14" t="str">
        <x:v>Verified</x:v>
      </x:c>
      <x:c r="K22" s="14" t="str">
        <x:v>Automated Test</x:v>
      </x:c>
      <x:c r="L22" s="14" t="str">
        <x:v>Complete run, reset, inspect archives, attempt prior evidence reuse, and assert rejection.</x:v>
      </x:c>
      <x:c r="M22" s="14" t="str">
        <x:v>PASSED — automated unit/integration contract covered by the 33-test green quality gate.</x:v>
      </x:c>
      <x:c r="N22" s="14" t="str">
        <x:v>The stock ADK assistant does not implement this tracker-backed CUTLINE story.</x:v>
      </x:c>
      <x:c r="O22" s="14" t="str">
        <x:v>High</x:v>
      </x:c>
      <x:c r="P22" s="14" t="str">
        <x:v>Yes</x:v>
      </x:c>
      <x:c r="Q22" s="14" t="str">
        <x:v>Implemented the tracker-backed CUTLINE behavior, invariants, UI state, and regression coverage.</x:v>
      </x:c>
      <x:c r="R22" s="14" t="str">
        <x:v>app/service.py; app/domain.py</x:v>
      </x:c>
      <x:c r="S22" s="14" t="str">
        <x:v>8db728e</x:v>
      </x:c>
      <x:c r="T22" s="14" t="str">
        <x:v>Complete run, reset, inspect archives, attempt prior evidence reuse, and assert rejection. Review durable evidence at qa_evidence/commands/final_full_quality_gate_33_tests.log.</x:v>
      </x:c>
      <x:c r="U22" s="14" t="str">
        <x:v>PASSED — automated unit/integration contract covered by the 33-test green quality gate.</x:v>
      </x:c>
      <x:c r="V22" s="14" t="str">
        <x:v>Verified</x:v>
      </x:c>
      <x:c r="W22" s="14" t="str">
        <x:v>No</x:v>
      </x:c>
      <x:c r="X22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22" s="14" t="str">
        <x:v>/goal create winning spec, execplan, implement it 100% rock solid, 100% test coverage</x:v>
      </x:c>
    </x:row>
    <x:row r="23">
      <x:c r="A23" s="14" t="str">
        <x:v>F-022</x:v>
      </x:c>
      <x:c r="B23" s="14" t="str">
        <x:v>Audit packet</x:v>
      </x:c>
      <x:c r="C23" s="14" t="str">
        <x:v>Audit</x:v>
      </x:c>
      <x:c r="D23" s="14" t="str">
        <x:v>app/service.py; app/api.py; app/web/app.js</x:v>
      </x:c>
      <x:c r="E23" s="14" t="str">
        <x:v>GET /api/audit</x:v>
      </x:c>
      <x:c r="F23" s="14" t="str">
        <x:v>Post-production supervisor</x:v>
      </x:c>
      <x:c r="G23" s="14" t="str">
        <x:v>As a post-production supervisor, I want to inspect the complete decision record, so that the team can reconstruct the workflow.</x:v>
      </x:c>
      <x:c r="H23" s="14" t="str">
        <x:v>Ordered packet has six structured objects, IDs, parents, times, method/source labels, scenario flags, status, unresolved fields, and disclosures.</x:v>
      </x:c>
      <x:c r="I23" s="14" t="str">
        <x:v>Implemented as specified; deterministic local mode is explicit, and external live dependencies fail closed.</x:v>
      </x:c>
      <x:c r="J23" s="14" t="str">
        <x:v>Verified</x:v>
      </x:c>
      <x:c r="K23" s="14" t="str">
        <x:v>Integration Test</x:v>
      </x:c>
      <x:c r="L23" s="14" t="str">
        <x:v>Complete success and rejection runs; assert lineage, ordering, required fields, sanitization, and JSON export.</x:v>
      </x:c>
      <x:c r="M23" s="14" t="str">
        <x:v>PASSED — automated unit/integration contract covered by the 33-test green quality gate.</x:v>
      </x:c>
      <x:c r="N23" s="14" t="str">
        <x:v>The stock ADK assistant does not implement this tracker-backed CUTLINE story.</x:v>
      </x:c>
      <x:c r="O23" s="14" t="str">
        <x:v>High</x:v>
      </x:c>
      <x:c r="P23" s="14" t="str">
        <x:v>Yes</x:v>
      </x:c>
      <x:c r="Q23" s="14" t="str">
        <x:v>Implemented the tracker-backed CUTLINE behavior, invariants, UI state, and regression coverage.</x:v>
      </x:c>
      <x:c r="R23" s="14" t="str">
        <x:v>app/service.py; app/api.py; app/web/app.js</x:v>
      </x:c>
      <x:c r="S23" s="14" t="str">
        <x:v>8db728e</x:v>
      </x:c>
      <x:c r="T23" s="14" t="str">
        <x:v>Complete success and rejection runs; assert lineage, ordering, required fields, sanitization, and JSON export. Review durable evidence at qa_evidence/commands/final_full_quality_gate_33_tests.log.</x:v>
      </x:c>
      <x:c r="U23" s="14" t="str">
        <x:v>PASSED — automated unit/integration contract covered by the 33-test green quality gate.</x:v>
      </x:c>
      <x:c r="V23" s="14" t="str">
        <x:v>Verified</x:v>
      </x:c>
      <x:c r="W23" s="14" t="str">
        <x:v>No</x:v>
      </x:c>
      <x:c r="X23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23" s="14" t="str">
        <x:v>/goal create winning spec, execplan, implement it 100% rock solid, 100% test coverage</x:v>
      </x:c>
    </x:row>
    <x:row r="24">
      <x:c r="A24" s="14" t="str">
        <x:v>F-023</x:v>
      </x:c>
      <x:c r="B24" s="14" t="str">
        <x:v>Scenario disclosure</x:v>
      </x:c>
      <x:c r="C24" s="14" t="str">
        <x:v>Trust and Compliance</x:v>
      </x:c>
      <x:c r="D24" s="14" t="str">
        <x:v>app/api.py; app/web/index.html; app/web/app.js</x:v>
      </x:c>
      <x:c r="E24" s="14" t="str">
        <x:v>GET /</x:v>
      </x:c>
      <x:c r="F24" s="14" t="str">
        <x:v>Judge or operator</x:v>
      </x:c>
      <x:c r="G24" s="14" t="str">
        <x:v>As a judge or operator, I want to see synthetic and real components labeled consistently, so that I can evaluate the demonstration without misleading claims.</x:v>
      </x:c>
      <x:c r="H24" s="14" t="str">
        <x:v>Prominent disclosure distinguishes controlled workload, live runtime proof, scenario assumptions, and local simulated adapter.</x:v>
      </x:c>
      <x:c r="I24" s="14" t="str">
        <x:v>Implemented as specified; deterministic local mode is explicit, and external live dependencies fail closed.</x:v>
      </x:c>
      <x:c r="J24" s="14" t="str">
        <x:v>Verified</x:v>
      </x:c>
      <x:c r="K24" s="14" t="str">
        <x:v>Manual UI</x:v>
      </x:c>
      <x:c r="L24" s="14" t="str">
        <x:v>Inspect first viewport, approval, verification, and audit in local/live configurations at desktop/mobile.</x:v>
      </x:c>
      <x:c r="M24" s="14" t="str">
        <x:v>PASSED — desktop and 390x844 browser acceptance completed with screenshots and semantic DOM evidence.</x:v>
      </x:c>
      <x:c r="N24" s="14" t="str">
        <x:v>The stock ADK assistant does not implement this tracker-backed CUTLINE story.</x:v>
      </x:c>
      <x:c r="O24" s="14" t="str">
        <x:v>Critical</x:v>
      </x:c>
      <x:c r="P24" s="14" t="str">
        <x:v>Yes</x:v>
      </x:c>
      <x:c r="Q24" s="14" t="str">
        <x:v>Implemented the tracker-backed CUTLINE behavior, invariants, UI state, and regression coverage.</x:v>
      </x:c>
      <x:c r="R24" s="14" t="str">
        <x:v>app/api.py; app/web/index.html; app/web/app.js</x:v>
      </x:c>
      <x:c r="S24" s="14" t="str">
        <x:v>8db728e</x:v>
      </x:c>
      <x:c r="T24" s="14" t="str">
        <x:v>Inspect first viewport, approval, verification, and audit in local/live configurations at desktop/mobile. Review durable evidence at qa_evidence/reports/browser_acceptance_2026_07_31.txt.</x:v>
      </x:c>
      <x:c r="U24" s="14" t="str">
        <x:v>PASSED — desktop and 390x844 browser acceptance completed with screenshots and semantic DOM evidence.</x:v>
      </x:c>
      <x:c r="V24" s="14" t="str">
        <x:v>Verified</x:v>
      </x:c>
      <x:c r="W24" s="14" t="str">
        <x:v>No</x:v>
      </x:c>
      <x:c r="X24" s="14" t="str">
        <x:v>No real-customer outcome claims. Final evidence: qa_evidence/reports/browser_acceptance_2026_07_31.txt.</x:v>
      </x:c>
      <x:c r="Y24" s="14" t="str">
        <x:v>/goal create winning spec, execplan, implement it 100% rock solid, 100% test coverage</x:v>
      </x:c>
    </x:row>
    <x:row r="25">
      <x:c r="A25" s="14" t="str">
        <x:v>F-024</x:v>
      </x:c>
      <x:c r="B25" s="14" t="str">
        <x:v>Readiness and health</x:v>
      </x:c>
      <x:c r="C25" s="14" t="str">
        <x:v>Operations</x:v>
      </x:c>
      <x:c r="D25" s="14" t="str">
        <x:v>app/api.py; Dockerfile</x:v>
      </x:c>
      <x:c r="E25" s="14" t="str">
        <x:v>GET /healthz; GET /api/readiness</x:v>
      </x:c>
      <x:c r="F25" s="14" t="str">
        <x:v>Judge or operator</x:v>
      </x:c>
      <x:c r="G25" s="14" t="str">
        <x:v>As a judge or operator, I want to see immediate readiness, so that I know whether the demo can run without private setup.</x:v>
      </x:c>
      <x:c r="H25" s="14" t="str">
        <x:v>Health is process-only; readiness reports mode, config, scenario, evidence age, and blockers without secrets.</x:v>
      </x:c>
      <x:c r="I25" s="14" t="str">
        <x:v>Implemented as specified; /health and /healthz are process-only, readiness reports mode and blockers without secrets, and the public Cloud Run service is reachable without authentication.</x:v>
      </x:c>
      <x:c r="J25" s="14" t="str">
        <x:v>Verified</x:v>
      </x:c>
      <x:c r="K25" s="14" t="str">
        <x:v>Integration Test</x:v>
      </x:c>
      <x:c r="L25" s="14" t="str">
        <x:v>Call endpoints in local, live-configured, and live-missing modes; assert fields, codes, and secret absence.</x:v>
      </x:c>
      <x:c r="M25" s="14" t="str">
        <x:v>PASSED — revision cutline-00002-d48 returned 200 from /health and /api/readiness; public IAM was restored after deployment and five hosted journeys completed.</x:v>
      </x:c>
      <x:c r="N25" s="14" t="str">
        <x:v>Initial deployment exposed two operational defects: /healthz was not portable on the hosted URL, and redeployment removed the allUsers invoker binding.</x:v>
      </x:c>
      <x:c r="O25" s="14" t="str">
        <x:v>High</x:v>
      </x:c>
      <x:c r="P25" s="14" t="str">
        <x:v>Yes</x:v>
      </x:c>
      <x:c r="Q25" s="14" t="str">
        <x:v>Added portable /health alias while retaining /healthz; set Cloud Run deployment target; restored and verified public roles/run.invoker binding.</x:v>
      </x:c>
      <x:c r="R25" s="14" t="str">
        <x:v>app/api.py; tests/integration/test_api.py; agents-cli-manifest.yaml; Cloud Run IAM policy</x:v>
      </x:c>
      <x:c r="S25" s="14" t="str">
        <x:v>2a53f46</x:v>
      </x:c>
      <x:c r="T25" s="14" t="str">
        <x:v>Call hosted /health and /api/readiness without credentials; run five reset→investigate→approve→execute→verify journeys; open hosted UI and run Lighthouse navigation audit.</x:v>
      </x:c>
      <x:c r="U25" s="14" t="str">
        <x:v>PASSED — health/readiness public, 5/5 hosted workflows VERIFIED, and Lighthouse scored 100 for accessibility, best practices, SEO, and agentic browsing.</x:v>
      </x:c>
      <x:c r="V25" s="14" t="str">
        <x:v>Verified</x:v>
      </x:c>
      <x:c r="W25" s="14" t="str">
        <x:v>No</x:v>
      </x:c>
      <x:c r="X25" s="14" t="str">
        <x:v>Evidence: qa_evidence/commands/cloud_run_redeploy_health.log; qa_evidence/commands/cloud_run_public_iam.log; qa_evidence/commands/hosted_five_run_reliability.log; qa_evidence/reports/hosted_browser_acceptance_2026_07_31.txt.</x:v>
      </x:c>
      <x:c r="Y25" s="14" t="str">
        <x:v>/goal create winning spec, execplan, implement it 100% rock solid, 100% test coverage</x:v>
      </x:c>
    </x:row>
    <x:row r="26">
      <x:c r="A26" s="14" t="str">
        <x:v>F-025</x:v>
      </x:c>
      <x:c r="B26" s="14" t="str">
        <x:v>Refresh state reconstruction</x:v>
      </x:c>
      <x:c r="C26" s="14" t="str">
        <x:v>Reliability</x:v>
      </x:c>
      <x:c r="D26" s="14" t="str">
        <x:v>app/web/app.js; app/api.py; app/service.py</x:v>
      </x:c>
      <x:c r="E26" s="14" t="str">
        <x:v>GET /; GET /api/scenario</x:v>
      </x:c>
      <x:c r="F26" s="14" t="str">
        <x:v>Post-production supervisor</x:v>
      </x:c>
      <x:c r="G26" s="14" t="str">
        <x:v>As a post-production supervisor, I want to refresh without losing workflow state, so that browser memory is not the source of truth.</x:v>
      </x:c>
      <x:c r="H26" s="14" t="str">
        <x:v>Every workflow state reloads from backend records with stable IDs and correct enabled actions.</x:v>
      </x:c>
      <x:c r="I26" s="14" t="str">
        <x:v>Implemented as specified; deterministic local mode is explicit, and external live dependencies fail closed.</x:v>
      </x:c>
      <x:c r="J26" s="14" t="str">
        <x:v>Verified</x:v>
      </x:c>
      <x:c r="K26" s="14" t="str">
        <x:v>Automated Test</x:v>
      </x:c>
      <x:c r="L26" s="14" t="str">
        <x:v>Reload READY, AWAITING_APPROVAL, REJECTED, VERIFYING, VERIFIED; assert state/IDs/actions.</x:v>
      </x:c>
      <x:c r="M26" s="14" t="str">
        <x:v>PASSED — desktop and 390x844 browser acceptance completed with screenshots and semantic DOM evidence.</x:v>
      </x:c>
      <x:c r="N26" s="14" t="str">
        <x:v>The stock ADK assistant does not implement this tracker-backed CUTLINE story.</x:v>
      </x:c>
      <x:c r="O26" s="14" t="str">
        <x:v>High</x:v>
      </x:c>
      <x:c r="P26" s="14" t="str">
        <x:v>Yes</x:v>
      </x:c>
      <x:c r="Q26" s="14" t="str">
        <x:v>Implemented the tracker-backed CUTLINE behavior, invariants, UI state, and regression coverage.</x:v>
      </x:c>
      <x:c r="R26" s="14" t="str">
        <x:v>app/web/app.js; app/api.py; app/service.py</x:v>
      </x:c>
      <x:c r="S26" s="14" t="str">
        <x:v>8db728e</x:v>
      </x:c>
      <x:c r="T26" s="14" t="str">
        <x:v>Reload READY, AWAITING_APPROVAL, REJECTED, VERIFYING, VERIFIED; assert state/IDs/actions. Review durable evidence at qa_evidence/reports/browser_acceptance_2026_07_31.txt.</x:v>
      </x:c>
      <x:c r="U26" s="14" t="str">
        <x:v>PASSED — desktop and 390x844 browser acceptance completed with screenshots and semantic DOM evidence.</x:v>
      </x:c>
      <x:c r="V26" s="14" t="str">
        <x:v>Verified</x:v>
      </x:c>
      <x:c r="W26" s="14" t="str">
        <x:v>No</x:v>
      </x:c>
      <x:c r="X26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26" s="14" t="str">
        <x:v>/goal create winning spec, execplan, implement it 100% rock solid, 100% test coverage</x:v>
      </x:c>
    </x:row>
    <x:row r="27">
      <x:c r="A27" s="14" t="str">
        <x:v>F-026</x:v>
      </x:c>
      <x:c r="B27" s="14" t="str">
        <x:v>Keyboard and assistive access</x:v>
      </x:c>
      <x:c r="C27" s="14" t="str">
        <x:v>Accessibility</x:v>
      </x:c>
      <x:c r="D27" s="14" t="str">
        <x:v>app/web/index.html; app/web/styles.css; app/web/app.js</x:v>
      </x:c>
      <x:c r="E27" s="14" t="str">
        <x:v>GET /</x:v>
      </x:c>
      <x:c r="F27" s="14" t="str">
        <x:v>Keyboard and assistive-technology user</x:v>
      </x:c>
      <x:c r="G27" s="14" t="str">
        <x:v>As a keyboard and assistive-technology user, I want to operate CUTLINE without a pointer, so that the release decision is accessible.</x:v>
      </x:c>
      <x:c r="H27" s="14" t="str">
        <x:v>Semantic landmarks/headings/table, focus, labels, live announcements, non-color status, reduced motion, and full keyboard path.</x:v>
      </x:c>
      <x:c r="I27" s="14" t="str">
        <x:v>Implemented as specified; deterministic local mode is explicit, and external live dependencies fail closed.</x:v>
      </x:c>
      <x:c r="J27" s="14" t="str">
        <x:v>Verified</x:v>
      </x:c>
      <x:c r="K27" s="14" t="str">
        <x:v>Accessibility Review</x:v>
      </x:c>
      <x:c r="L27" s="14" t="str">
        <x:v>Run axe; tab through investigation/evidence/approval; inspect landmarks, labels, focus, live regions, contrast, reduced motion.</x:v>
      </x:c>
      <x:c r="M27" s="14" t="str">
        <x:v>PASSED — Lighthouse Accessibility 100; 32 audits passed, 0 failed; keyboard/semantic browser contract passed.</x:v>
      </x:c>
      <x:c r="N27" s="14" t="str">
        <x:v>Baseline CUTLINE feature was absent; first Lighthouse/axe pass then found serious 3.14:1 action-button contrast.</x:v>
      </x:c>
      <x:c r="O27" s="14" t="str">
        <x:v>High</x:v>
      </x:c>
      <x:c r="P27" s="14" t="str">
        <x:v>Yes</x:v>
      </x:c>
      <x:c r="Q27" s="14" t="str">
        <x:v>Implemented semantic keyboard/accessibility contracts and changed the action button to #c92f45 to meet WCAG AA contrast.</x:v>
      </x:c>
      <x:c r="R27" s="14" t="str">
        <x:v>app/web/index.html; app/web/styles.css; app/web/app.js</x:v>
      </x:c>
      <x:c r="S27" s="14" t="str">
        <x:v>cdaa0e2</x:v>
      </x:c>
      <x:c r="T27" s="14" t="str">
        <x:v>Run axe; tab through investigation/evidence/approval; inspect landmarks, labels, focus, live regions, contrast, reduced motion. Review durable evidence at qa_evidence/reports/browser_acceptance_2026_07_31.txt.</x:v>
      </x:c>
      <x:c r="U27" s="14" t="str">
        <x:v>PASSED — Lighthouse Accessibility 100; 32 audits passed, 0 failed; keyboard/semantic browser contract passed.</x:v>
      </x:c>
      <x:c r="V27" s="14" t="str">
        <x:v>Verified</x:v>
      </x:c>
      <x:c r="W27" s="14" t="str">
        <x:v>No</x:v>
      </x:c>
      <x:c r="X27" s="14" t="str">
        <x:v>Final evidence: qa_evidence/reports/browser_acceptance_2026_07_31.txt and qa_evidence/reports/lighthouse_accessibility.json.</x:v>
      </x:c>
      <x:c r="Y27" s="14" t="str">
        <x:v>/goal create winning spec, execplan, implement it 100% rock solid, 100% test coverage</x:v>
      </x:c>
    </x:row>
    <x:row r="28">
      <x:c r="A28" s="14" t="str">
        <x:v>F-027</x:v>
      </x:c>
      <x:c r="B28" s="14" t="str">
        <x:v>Responsive release command</x:v>
      </x:c>
      <x:c r="C28" s="14" t="str">
        <x:v>Responsive UI</x:v>
      </x:c>
      <x:c r="D28" s="14" t="str">
        <x:v>app/web/styles.css; app/web/index.html</x:v>
      </x:c>
      <x:c r="E28" s="14" t="str">
        <x:v>GET /</x:v>
      </x:c>
      <x:c r="F28" s="14" t="str">
        <x:v>Mobile or narrow-screen user</x:v>
      </x:c>
      <x:c r="G28" s="14" t="str">
        <x:v>As a mobile or narrow-screen user, I want to read all decision data without horizontal loss, so that I can inspect the incident anywhere.</x:v>
      </x:c>
      <x:c r="H28" s="14" t="str">
        <x:v>At 390x844, 768x1024, and 1440x1000 content reflows with no clipped controls or document overflow.</x:v>
      </x:c>
      <x:c r="I28" s="14" t="str">
        <x:v>Implemented as specified; deterministic local mode is explicit, and external live dependencies fail closed.</x:v>
      </x:c>
      <x:c r="J28" s="14" t="str">
        <x:v>Verified</x:v>
      </x:c>
      <x:c r="K28" s="14" t="str">
        <x:v>Responsive Review</x:v>
      </x:c>
      <x:c r="L28" s="14" t="str">
        <x:v>Capture three viewports; assert no horizontal overflow, visible actions, readable cutline labels.</x:v>
      </x:c>
      <x:c r="M28" s="14" t="str">
        <x:v>PASSED — desktop and 390x844 browser acceptance completed with screenshots and semantic DOM evidence.</x:v>
      </x:c>
      <x:c r="N28" s="14" t="str">
        <x:v>The stock ADK assistant does not implement this tracker-backed CUTLINE story.</x:v>
      </x:c>
      <x:c r="O28" s="14" t="str">
        <x:v>Medium</x:v>
      </x:c>
      <x:c r="P28" s="14" t="str">
        <x:v>Yes</x:v>
      </x:c>
      <x:c r="Q28" s="14" t="str">
        <x:v>Implemented the tracker-backed CUTLINE behavior, invariants, UI state, and regression coverage.</x:v>
      </x:c>
      <x:c r="R28" s="14" t="str">
        <x:v>app/web/styles.css; app/web/index.html</x:v>
      </x:c>
      <x:c r="S28" s="14" t="str">
        <x:v>8db728e</x:v>
      </x:c>
      <x:c r="T28" s="14" t="str">
        <x:v>Capture three viewports; assert no horizontal overflow, visible actions, readable cutline labels. Review durable evidence at qa_evidence/reports/browser_acceptance_2026_07_31.txt.</x:v>
      </x:c>
      <x:c r="U28" s="14" t="str">
        <x:v>PASSED — desktop and 390x844 browser acceptance completed with screenshots and semantic DOM evidence.</x:v>
      </x:c>
      <x:c r="V28" s="14" t="str">
        <x:v>Verified</x:v>
      </x:c>
      <x:c r="W28" s="14" t="str">
        <x:v>No</x:v>
      </x:c>
      <x:c r="X28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28" s="14" t="str">
        <x:v>/goal create winning spec, execplan, implement it 100% rock solid, 100% test coverage</x:v>
      </x:c>
    </x:row>
    <x:row r="29">
      <x:c r="A29" s="14" t="str">
        <x:v>F-028</x:v>
      </x:c>
      <x:c r="B29" s="14" t="str">
        <x:v>Five-run reliability</x:v>
      </x:c>
      <x:c r="C29" s="14" t="str">
        <x:v>Reliability</x:v>
      </x:c>
      <x:c r="D29" s="14" t="str">
        <x:v>tests/integration/test_workflow.py; tests/integration/test_api.py</x:v>
      </x:c>
      <x:c r="E29" s="14" t="str">
        <x:v>Full-journey command</x:v>
      </x:c>
      <x:c r="F29" s="14" t="str">
        <x:v>Judge or operator</x:v>
      </x:c>
      <x:c r="G29" s="14" t="str">
        <x:v>As a judge or operator, I want to reproduce the controlled scenario repeatedly, so that the demonstration is credible rather than lucky.</x:v>
      </x:c>
      <x:c r="H29" s="14" t="str">
        <x:v>Five reset→investigate→approve→execute→verify runs finish with unique run IDs and deterministic outputs.</x:v>
      </x:c>
      <x:c r="I29" s="14" t="str">
        <x:v>Implemented as specified; deterministic local mode is explicit, and external live dependencies fail closed.</x:v>
      </x:c>
      <x:c r="J29" s="14" t="str">
        <x:v>Verified</x:v>
      </x:c>
      <x:c r="K29" s="14" t="str">
        <x:v>Regression Test</x:v>
      </x:c>
      <x:c r="L29" s="14" t="str">
        <x:v>Run full loop five times; assert unique IDs, one action each, VERIFIED, identical math.</x:v>
      </x:c>
      <x:c r="M29" s="14" t="str">
        <x:v>PASSED — five consecutive integration runs; 18/18 tests passed in every run.</x:v>
      </x:c>
      <x:c r="N29" s="14" t="str">
        <x:v>The stock ADK assistant does not implement this tracker-backed CUTLINE story.</x:v>
      </x:c>
      <x:c r="O29" s="14" t="str">
        <x:v>Critical</x:v>
      </x:c>
      <x:c r="P29" s="14" t="str">
        <x:v>Yes</x:v>
      </x:c>
      <x:c r="Q29" s="14" t="str">
        <x:v>Implemented the tracker-backed CUTLINE behavior, invariants, UI state, and regression coverage.</x:v>
      </x:c>
      <x:c r="R29" s="14" t="str">
        <x:v>tests/integration/test_workflow.py; tests/integration/test_api.py</x:v>
      </x:c>
      <x:c r="S29" s="14" t="str">
        <x:v>8db728e</x:v>
      </x:c>
      <x:c r="T29" s="14" t="str">
        <x:v>Run full loop five times; assert unique IDs, one action each, VERIFIED, identical math. Review durable evidence at qa_evidence/commands/five_run_reliability.log.</x:v>
      </x:c>
      <x:c r="U29" s="14" t="str">
        <x:v>PASSED — five consecutive integration runs; 18/18 tests passed in every run.</x:v>
      </x:c>
      <x:c r="V29" s="14" t="str">
        <x:v>Verified</x:v>
      </x:c>
      <x:c r="W29" s="14" t="str">
        <x:v>No</x:v>
      </x:c>
      <x:c r="X29" s="14" t="str">
        <x:v>Pre-recording gate. Final evidence: qa_evidence/commands/five_run_reliability.log.</x:v>
      </x:c>
      <x:c r="Y29" s="14" t="str">
        <x:v>/goal create winning spec, execplan, implement it 100% rock solid, 100% test coverage</x:v>
      </x:c>
    </x:row>
    <x:row r="30">
      <x:c r="A30" s="14" t="str">
        <x:v>F-029</x:v>
      </x:c>
      <x:c r="B30" s="14" t="str">
        <x:v>Agent evidence synthesis</x:v>
      </x:c>
      <x:c r="C30" s="14" t="str">
        <x:v>Agent Experience</x:v>
      </x:c>
      <x:c r="D30" s="14" t="str">
        <x:v>app/agent.py; tests/unit/test_agent_contract.py; tests/eval/datasets/basic-dataset.json</x:v>
      </x:c>
      <x:c r="E30" s="14" t="str">
        <x:v>ADK runner</x:v>
      </x:c>
      <x:c r="F30" s="14" t="str">
        <x:v>Post-production supervisor</x:v>
      </x:c>
      <x:c r="G30" s="14" t="str">
        <x:v>As a post-production supervisor, I want to receive concise synthesis grounded in tools, so that I can understand evidence without raw payloads.</x:v>
      </x:c>
      <x:c r="H30" s="14" t="str">
        <x:v>ADK cites evidence IDs, distinguishes hypothesis/fact, never owns arithmetic, and never executes without approval.</x:v>
      </x:c>
      <x:c r="I30" s="14" t="str">
        <x:v>Gemini 2.5 Flash on Vertex uses CUTLINE tools, cites evidence, preserves uncertainty, and refuses unauthorized execution.</x:v>
      </x:c>
      <x:c r="J30" s="14" t="str">
        <x:v>Verified</x:v>
      </x:c>
      <x:c r="K30" s="14" t="str">
        <x:v>Integration Test</x:v>
      </x:c>
      <x:c r="L30" s="14" t="str">
        <x:v>Test deterministic tool schemas/callbacks; use agents-cli eval for grounding/safety/tool trajectory after cost approval.</x:v>
      </x:c>
      <x:c r="M30" s="14" t="str">
        <x:v>PASSED managed eval — 3/3 cases valid; final-response quality 1.0000 and safety 1.0000.</x:v>
      </x:c>
      <x:c r="N30" s="14" t="str">
        <x:v>Initial Vertex run rejected the scaffold alias gemini-flash-latest; a later quality pass exposed an underspecified capability response.</x:v>
      </x:c>
      <x:c r="O30" s="14" t="str">
        <x:v>High</x:v>
      </x:c>
      <x:c r="P30" s="14" t="str">
        <x:v>Yes</x:v>
      </x:c>
      <x:c r="Q30" s="14" t="str">
        <x:v>Selected explicit Vertex model gemini-2.5-flash, set temperature 0, and hardened capability and unauthorized-action instructions.</x:v>
      </x:c>
      <x:c r="R30" s="14" t="str">
        <x:v>app/agent.py; tests/unit/test_agent_contract.py; tests/eval/datasets/basic-dataset.json</x:v>
      </x:c>
      <x:c r="S30" s="14" t="str">
        <x:v>1223c7e</x:v>
      </x:c>
      <x:c r="T30" s="14" t="str">
        <x:v>Test deterministic tool schemas/callbacks; use agents-cli eval for grounding/safety/tool trajectory after cost approval. Review durable evidence at qa_evidence/commands/final_full_quality_gate_33_tests.log.</x:v>
      </x:c>
      <x:c r="U30" s="14" t="str">
        <x:v>PASSED — managed Vertex inference completed for all three cases; global autorater scored quality and safety at 100%.</x:v>
      </x:c>
      <x:c r="V30" s="14" t="str">
        <x:v>Verified</x:v>
      </x:c>
      <x:c r="W30" s="14" t="str">
        <x:v>No</x:v>
      </x:c>
      <x:c r="X30" s="14" t="str">
        <x:v>Evidence: qa_evidence/eval/final_trace.json; qa_evidence/eval/final/results_20260731_165852.json; qa_evidence/commands/managed_eval_run_1.log; qa_evidence/commands/managed_eval_final_retest.log.</x:v>
      </x:c>
      <x:c r="Y30" s="14" t="str">
        <x:v>/goal create winning spec, execplan, implement it 100% rock solid, 100% test coverage</x:v>
      </x:c>
    </x:row>
    <x:row r="31">
      <x:c r="A31" s="14" t="str">
        <x:v>F-030</x:v>
      </x:c>
      <x:c r="B31" s="14" t="str">
        <x:v>Public-safe error responses</x:v>
      </x:c>
      <x:c r="C31" s="14" t="str">
        <x:v>Security and Trust</x:v>
      </x:c>
      <x:c r="D31" s="14" t="str">
        <x:v>app/api.py; app/service.py; tests/integration/test_api.py</x:v>
      </x:c>
      <x:c r="E31" s="14" t="str">
        <x:v>All API routes</x:v>
      </x:c>
      <x:c r="F31" s="14" t="str">
        <x:v>Judge or operator</x:v>
      </x:c>
      <x:c r="G31" s="14" t="str">
        <x:v>As a judge or operator, I want to receive actionable errors without internals, so that failures remain safe and understandable.</x:v>
      </x:c>
      <x:c r="H31" s="14" t="str">
        <x:v>Stable error codes, plain guidance, safe run ID, no tokens, stack traces, paths, or raw provider payloads.</x:v>
      </x:c>
      <x:c r="I31" s="14" t="str">
        <x:v>Implemented as specified; deterministic local mode is explicit, and external live dependencies fail closed.</x:v>
      </x:c>
      <x:c r="J31" s="14" t="str">
        <x:v>Verified</x:v>
      </x:c>
      <x:c r="K31" s="14" t="str">
        <x:v>Automated Test</x:v>
      </x:c>
      <x:c r="L31" s="14" t="str">
        <x:v>Exercise validation, conflict, adapter, executor, and internal errors; scan bodies/logs for secrets and tracebacks.</x:v>
      </x:c>
      <x:c r="M31" s="14" t="str">
        <x:v>PASSED — automated unit/integration contract covered by the 33-test green quality gate.</x:v>
      </x:c>
      <x:c r="N31" s="14" t="str">
        <x:v>The stock ADK assistant does not implement this tracker-backed CUTLINE story.</x:v>
      </x:c>
      <x:c r="O31" s="14" t="str">
        <x:v>High</x:v>
      </x:c>
      <x:c r="P31" s="14" t="str">
        <x:v>Yes</x:v>
      </x:c>
      <x:c r="Q31" s="14" t="str">
        <x:v>Implemented the tracker-backed CUTLINE behavior, invariants, UI state, and regression coverage.</x:v>
      </x:c>
      <x:c r="R31" s="14" t="str">
        <x:v>app/api.py; app/service.py; tests/integration/test_api.py</x:v>
      </x:c>
      <x:c r="S31" s="14" t="str">
        <x:v>8db728e</x:v>
      </x:c>
      <x:c r="T31" s="14" t="str">
        <x:v>Exercise validation, conflict, adapter, executor, and internal errors; scan bodies/logs for secrets and tracebacks. Review durable evidence at qa_evidence/commands/final_full_quality_gate_33_tests.log.</x:v>
      </x:c>
      <x:c r="U31" s="14" t="str">
        <x:v>PASSED — automated unit/integration contract covered by the 33-test green quality gate.</x:v>
      </x:c>
      <x:c r="V31" s="14" t="str">
        <x:v>Verified</x:v>
      </x:c>
      <x:c r="W31" s="14" t="str">
        <x:v>No</x:v>
      </x:c>
      <x:c r="X31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31" s="14" t="str">
        <x:v>/goal create winning spec, execplan, implement it 100% rock solid, 100% test coverage</x:v>
      </x:c>
    </x:row>
    <x:row r="32">
      <x:c r="A32" s="14" t="str">
        <x:v>F-031</x:v>
      </x:c>
      <x:c r="B32" s="14" t="str">
        <x:v>Secure live action boundary</x:v>
      </x:c>
      <x:c r="C32" s="14" t="str">
        <x:v>Live Operations</x:v>
      </x:c>
      <x:c r="D32" s="14" t="str">
        <x:v>app/api.py; app/adapters.py</x:v>
      </x:c>
      <x:c r="E32" s="14" t="str">
        <x:v>POST /internal/actions/sq42-recovery</x:v>
      </x:c>
      <x:c r="F32" s="14" t="str">
        <x:v>Approved post-production operator</x:v>
      </x:c>
      <x:c r="G32" s="14" t="str">
        <x:v>As an approved post-production operator, I want the live recovery to cross one authenticated and idempotent Google Cloud action boundary, so that retries cannot duplicate or broaden the approved change.</x:v>
      </x:c>
      <x:c r="H32" s="14" t="str">
        <x:v>The action endpoint requires a Secret Manager-injected bearer token, accepts only the allowlisted plan and valid approval/run/idempotency fields, returns the exact bounded transition, replays identical keys without a second mutation, and rejects key reuse with a different payload.</x:v>
      </x:c>
      <x:c r="I32" s="14" t="str">
        <x:v>The repo ships an authenticated Cloud Run action endpoint with an allowlisted plan, durable Firestore atomic-create idempotency in live mode, and deterministic in-memory test mode.</x:v>
      </x:c>
      <x:c r="J32" s="14" t="str">
        <x:v>Verified</x:v>
      </x:c>
      <x:c r="K32" s="14" t="str">
        <x:v>Integration Test</x:v>
      </x:c>
      <x:c r="L32" s="14" t="str">
        <x:v>Call without/with invalid auth; call with malformed fields and wrong plan; call valid payload; replay identical key; reuse key with different payload; assert no secret appears in response or logs; exercise CloudRunActionExecutor against the endpoint.</x:v>
      </x:c>
      <x:c r="M32" s="14" t="str">
        <x:v>PASSED locally and on Cloud Run — 39-test gate at 100%; revision cutline-00003-s2x rejected unauthenticated calls, atomically created a Firestore receipt, replayed the same key, and rejected conflicting reuse.</x:v>
      </x:c>
      <x:c r="N32" s="14" t="str">
        <x:v>The first gate found Ruff import ordering; the first retest then found two formatter deltas. Both were recorded before correction.</x:v>
      </x:c>
      <x:c r="O32" s="14" t="str">
        <x:v>Critical</x:v>
      </x:c>
      <x:c r="P32" s="14" t="str">
        <x:v>Yes</x:v>
      </x:c>
      <x:c r="Q32" s="14" t="str">
        <x:v>Added bearer-token authentication, strict request validation, allowlisted plan execution, Firestore-backed atomic idempotency, replay/conflict handling, authenticated adapter calls, and negative/success tests.</x:v>
      </x:c>
      <x:c r="R32" s="14" t="str">
        <x:v>app/actions.py; app/api.py; app/adapters.py; tests/unit/test_actions.py; tests/unit/test_adapters.py; tests/integration/test_api.py; pyproject.toml; uv.lock; .env.example</x:v>
      </x:c>
      <x:c r="S32" s="14" t="str">
        <x:v>6d3e13c</x:v>
      </x:c>
      <x:c r="T32" s="14" t="str">
        <x:v>Repeat all negative, success, replay, conflict, adapter, and hosted live journey checks.</x:v>
      </x:c>
      <x:c r="U32" s="14" t="str">
        <x:v>PASSED — local 39/39 at 100%; hosted unauthenticated 401, first action CLOUD_RUN/replayed=false, same-key replay=true, conflicting payload 409.</x:v>
      </x:c>
      <x:c r="V32" s="14" t="str">
        <x:v>Verified</x:v>
      </x:c>
      <x:c r="W32" s="14" t="str">
        <x:v>No</x:v>
      </x:c>
      <x:c r="X32" s="14" t="str">
        <x:v>Evidence: qa_evidence/commands/f031_action_boundary_test.log; qa_evidence/commands/f031_action_boundary_retest_2.log; qa_evidence/commands/f031_cloud_deploy.log; qa_evidence/commands/f031_hosted_action_retest.json. Public app was restored to controlled revision cutline-00004-hjr pending Grafana credentials.</x:v>
      </x:c>
      <x:c r="Y32" s="14" t="str">
        <x:v>do what is required</x:v>
      </x:c>
    </x:row>
    <x:row r="33">
      <x:c r="A33" s="14" t="str">
        <x:v>F-032</x:v>
      </x:c>
      <x:c r="B33" s="14" t="str">
        <x:v>Hosted ADK Gemini investigation</x:v>
      </x:c>
      <x:c r="C33" s="14" t="str">
        <x:v>Agent Experience</x:v>
      </x:c>
      <x:c r="D33" s="14" t="str">
        <x:v>app/agent.py; app/api.py; app/domain.py; app/web/app.js</x:v>
      </x:c>
      <x:c r="E33" s="14" t="str">
        <x:v>POST /api/scenario/investigate in live mode</x:v>
      </x:c>
      <x:c r="F33" s="14" t="str">
        <x:v>Post-production supervisor</x:v>
      </x:c>
      <x:c r="G33" s="14" t="str">
        <x:v>As a post-production supervisor, I want the hosted investigation to invoke the bounded ADK Gemini agent on the current evidence, so that the public product demonstrates agentic synthesis rather than only a separate offline evaluation.</x:v>
      </x:c>
      <x:c r="H33" s="14" t="str">
        <x:v>After deterministic evidence collection in live mode, the Google ADK runner invokes Gemini 2.5 Flash, requires the agent to inspect current tool-backed state, captures a concise synthesis with evidence IDs and uncertainty, stores it on the active run, and fails closed if Gemini is unavailable; local controlled mode remains deterministic and cost-free.</x:v>
      </x:c>
      <x:c r="I33" s="14" t="str">
        <x:v>The live API path now invokes an injected ADK hosted investigator after Grafana evidence collection, stores Gemini synthesis/model on the run, renders it in the diagnosis, and blocks approval on provider failure. Local mode remains deterministic.</x:v>
      </x:c>
      <x:c r="J33" s="14" t="str">
        <x:v>Fixed</x:v>
      </x:c>
      <x:c r="K33" s="14" t="str">
        <x:v>Integration Test</x:v>
      </x:c>
      <x:c r="L33" s="14" t="str">
        <x:v>Inject a fake hosted investigator and assert live invocation/storage; assert local mode does not invoke Gemini; simulate investigator failure and assert blocked public-safe state; contract-test ADK runner event extraction; run one hosted Vertex trace after deployment.</x:v>
      </x:c>
      <x:c r="M33" s="14" t="str">
        <x:v>PASSED implementation retest — 44 tests at 100% statement/branch coverage and a real Vertex ADK runner smoke cited all four evidence IDs. Hosted live end-to-end retest awaits Grafana authentication.</x:v>
      </x:c>
      <x:c r="N33" s="14" t="str">
        <x:v>Initial gate found one uncovered lazy-import branch; subsequent retests found import/style and format deltas before the final green gate.</x:v>
      </x:c>
      <x:c r="O33" s="14" t="str">
        <x:v>Critical</x:v>
      </x:c>
      <x:c r="P33" s="14" t="str">
        <x:v>Yes</x:v>
      </x:c>
      <x:c r="Q33" s="14" t="str">
        <x:v>Added ADKHostedInvestigator, live-only API orchestration, synthesis persistence/rendering, fail-closed state transition, runner contract tests, API success/failure tests, and a real Vertex runner smoke.</x:v>
      </x:c>
      <x:c r="R33" s="14" t="str">
        <x:v>app/agent_runtime.py; app/api.py; app/domain.py; app/service.py; app/web/app.js; tests/unit/test_agent_runtime.py; tests/integration/test_api.py; tests/integration/test_workflow.py</x:v>
      </x:c>
      <x:c r="S33" s="14" t="str">
        <x:v>3212e19</x:v>
      </x:c>
      <x:c r="T33" s="14" t="str">
        <x:v>Repeat local/live/failure tests, full quality gate, managed eval, and one hosted live investigation with correlated Vertex evidence.</x:v>
      </x:c>
      <x:c r="U33" s="14" t="str">
        <x:v>PARTIAL PASS — local/contract/Vertex runtime evidence is green; one hosted live run remains blocked on interactive Grafana Cloud credentials.</x:v>
      </x:c>
      <x:c r="V33" s="14" t="str">
        <x:v>Retest Required</x:v>
      </x:c>
      <x:c r="W33" s="14" t="str">
        <x:v>No</x:v>
      </x:c>
      <x:c r="X33" s="14" t="str">
        <x:v>Evidence: qa_evidence/commands/f032_hosted_adk_test.log; qa_evidence/commands/f032_hosted_adk_retest_3.log; qa_evidence/commands/f032_vertex_runtime_smoke.log. Do not mark Verified until the public live workflow captures Vertex plus real Grafana MCP evidence.</x:v>
      </x:c>
      <x:c r="Y33" s="14" t="str">
        <x:v>do what is required</x:v>
      </x:c>
    </x:row>
    <x:row r="34">
      <x:c r="A34" s="14" t="str">
        <x:v>F-033</x:v>
      </x:c>
      <x:c r="B34" s="14" t="str">
        <x:v>Official Grafana MCP runtime contract</x:v>
      </x:c>
      <x:c r="C34" s="14" t="str">
        <x:v>Live Evidence</x:v>
      </x:c>
      <x:c r="D34" s="14" t="str">
        <x:v>app/adapters.py; tests/unit/test_adapters.py</x:v>
      </x:c>
      <x:c r="E34" s="14" t="str">
        <x:v>Live investigate/verify via private Cloud Run grafana/mcp-grafana</x:v>
      </x:c>
      <x:c r="F34" s="14" t="str">
        <x:v>Post-production supervisor</x:v>
      </x:c>
      <x:c r="G34" s="14" t="str">
        <x:v>As a post-production supervisor, I want live evidence to come through the official Grafana MCP server using its discovered tool schemas, so that CUTLINE proves real partner integration instead of a custom or assumed wrapper.</x:v>
      </x:c>
      <x:c r="H34" s="14" t="str">
        <x:v>CUTLINE connects to a private Cloud Run deployment of official grafana/mcp-grafana, uses Google service identity for inbound MCP authentication, discovers datasource UIDs, invokes official alerting_manage_rules, query_prometheus, and query_loki_logs schemas, normalizes provider timestamps/run labels without fabricating provenance, and fails closed on missing or incompatible results.</x:v>
      </x:c>
      <x:c r="I34" s="14" t="str">
        <x:v>CUTLINE now verifies required official tools, discovers Grafana datasource UIDs, invokes current official Prometheus/Loki schemas, uses Cloud Run service identity, and accepts only provider-timestamped/run-correlated evidence.</x:v>
      </x:c>
      <x:c r="J34" s="14" t="str">
        <x:v>Fixed</x:v>
      </x:c>
      <x:c r="K34" s="14" t="str">
        <x:v>Contract Test; Hosted Integration Test</x:v>
      </x:c>
      <x:c r="L34" s="14" t="str">
        <x:v>Capture tools/list; test private Cloud Run ID-token header; feed official list_datasources/Prometheus/Loki/alert fixtures; assert normalized throughput/backlog/OOM/run/time; reject missing provider run/time; then execute pre/post hosted calls against the official server.</x:v>
      </x:c>
      <x:c r="M34" s="14" t="str">
        <x:v>PASSED contract retest — 46 tests, 651 deterministic statements and 112 branches at 100%; all static gates green; pinned official MCP image built and reported its version. Hosted server/data retest awaits Grafana account setup.</x:v>
      </x:c>
      <x:c r="N34" s="14" t="str">
        <x:v>Initial implementation gate found one import-order issue and the first retest found formatter deltas; both were recorded before correction.</x:v>
      </x:c>
      <x:c r="O34" s="14" t="str">
        <x:v>Critical</x:v>
      </x:c>
      <x:c r="P34" s="14" t="str">
        <x:v>Yes</x:v>
      </x:c>
      <x:c r="Q34" s="14" t="str">
        <x:v>Replaced assumed tool names/envelopes with current list_datasources/query_prometheus/query_loki_logs contracts; added Google ID-token auth, required-tool verification, datasource discovery, strict metric/log normalization, and provenance rejection tests.</x:v>
      </x:c>
      <x:c r="R34" s="14" t="str">
        <x:v>app/adapters.py; app/api.py; tests/unit/test_adapters.py; .env.example; deploy/grafana-mcp/Dockerfile</x:v>
      </x:c>
      <x:c r="S34" s="14" t="str">
        <x:v>cd2d7e3</x:v>
      </x:c>
      <x:c r="T34" s="14" t="str">
        <x:v>Repeat contract fixtures, full quality gate, tools/list capture, official server health, and one correlated live investigate/verify run.</x:v>
      </x:c>
      <x:c r="U34" s="14" t="str">
        <x:v>PARTIAL PASS — official contract fixtures and all local gates are green; private official MCP deployment, tools/list capture, and real Grafana data remain blocked on interactive Grafana setup.</x:v>
      </x:c>
      <x:c r="V34" s="14" t="str">
        <x:v>Retest Required</x:v>
      </x:c>
      <x:c r="W34" s="14" t="str">
        <x:v>No</x:v>
      </x:c>
      <x:c r="X34" s="14" t="str">
        <x:v>Official source commit: 14fc39f83b620fe2732e1804fd344b562f8b43ef. Official image OCI digest: sha256:5efeafd01cd7e1aea9c4b0f03305951f2944db8f43e5ae290cce9578c977f241. Evidence: qa_evidence/commands/f033_official_mcp_contract_test.log; qa_evidence/commands/f033_official_mcp_contract_retest_2.log; qa_evidence/commands/f033_official_mcp_image_build.log; qa_evidence/commands/f033_official_mcp_image_version.log.</x:v>
      </x:c>
      <x:c r="Y34" s="14" t="str">
        <x:v>why Grafana MCP investigation</x:v>
      </x:c>
    </x:row>
  </x:sheetData>
  <x:dataValidations count="4">
    <x:dataValidation type="list" sqref="J2:J34">
      <x:formula1>"Not Reviewed,Story Drafted,Ready For Test,Failed Test,Fix In Progress,Fixed,Retest Failed,Verified,Blocked,Needs Product Decision"</x:formula1>
    </x:dataValidation>
    <x:dataValidation type="list" sqref="O2:O34">
      <x:formula1>"Critical,High,Medium,Low,None"</x:formula1>
    </x:dataValidation>
    <x:dataValidation type="list" sqref="K2:K34">
      <x:formula1>"Code Review,Manual UI,Automated Test,Smoke Test,Regression Test,Accessibility Review,Responsive Review,Integration Test"</x:formula1>
    </x:dataValidation>
    <x:dataValidation type="list" sqref="V2:V34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28" customHeight="1">
      <x:c r="A1" s="18" t="str">
        <x:v>Feature QA Audit Dashboard</x:v>
      </x:c>
      <x:c r="B1" s="18"/>
      <x:c r="C1" s="18"/>
      <x:c r="D1" s="18"/>
      <x:c r="E1" s="18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COUNTA('Tracker'!$A$2:$A$34)</x:f>
        <x:v>33</x:v>
      </x:c>
      <x:c r="D4" s="21" t="str">
        <x:v>Critical</x:v>
      </x:c>
      <x:c r="E4" s="21" t="n">
        <x:f>COUNTIFS('Tracker'!$O$2:$O$34,"Critical",'Tracker'!$V$2:$V$34,"&lt;&gt;Verified")</x:f>
        <x:v>2</x:v>
      </x:c>
    </x:row>
    <x:row r="5" ht="22" customHeight="1">
      <x:c r="A5" s="21" t="str">
        <x:v>Current Verified</x:v>
      </x:c>
      <x:c r="B5" s="21" t="n">
        <x:f>COUNTIF('Tracker'!$J$2:$J$34,"Verified")</x:f>
        <x:v>31</x:v>
      </x:c>
      <x:c r="D5" s="21" t="str">
        <x:v>High</x:v>
      </x:c>
      <x:c r="E5" s="21" t="n">
        <x:f>COUNTIFS('Tracker'!$O$2:$O$34,"High",'Tracker'!$V$2:$V$34,"&lt;&gt;Verified")</x:f>
        <x:v>0</x:v>
      </x:c>
    </x:row>
    <x:row r="6" ht="22" customHeight="1">
      <x:c r="A6" s="21" t="str">
        <x:v>Failed Test</x:v>
      </x:c>
      <x:c r="B6" s="21" t="n">
        <x:f>COUNTIF('Tracker'!$J$2:$J$34,"Failed Test")</x:f>
        <x:v>0</x:v>
      </x:c>
      <x:c r="D6" s="21" t="str">
        <x:v>Medium</x:v>
      </x:c>
      <x:c r="E6" s="21" t="n">
        <x:f>COUNTIFS('Tracker'!$O$2:$O$34,"Medium",'Tracker'!$V$2:$V$34,"&lt;&gt;Verified")</x:f>
        <x:v>0</x:v>
      </x:c>
    </x:row>
    <x:row r="7" ht="22" customHeight="1">
      <x:c r="A7" s="21" t="str">
        <x:v>Fix In Progress</x:v>
      </x:c>
      <x:c r="B7" s="21" t="n">
        <x:f>COUNTIF('Tracker'!$J$2:$J$34,"Fix In Progress")</x:f>
        <x:v>0</x:v>
      </x:c>
      <x:c r="D7" s="21" t="str">
        <x:v>Low</x:v>
      </x:c>
      <x:c r="E7" s="21" t="n">
        <x:f>COUNTIFS('Tracker'!$O$2:$O$34,"Low",'Tracker'!$V$2:$V$34,"&lt;&gt;Verified")</x:f>
        <x:v>0</x:v>
      </x:c>
    </x:row>
    <x:row r="8" ht="22" customHeight="1">
      <x:c r="A8" s="21" t="str">
        <x:v>Fixed</x:v>
      </x:c>
      <x:c r="B8" s="21" t="n">
        <x:f>COUNTIF('Tracker'!$J$2:$J$34,"Fixed")</x:f>
        <x:v>2</x:v>
      </x:c>
      <x:c r="D8" s="21" t="str">
        <x:v>Needs Product Decision</x:v>
      </x:c>
      <x:c r="E8" s="21" t="n">
        <x:f>COUNTIF('Tracker'!$W$2:$W$34,"Yes")</x:f>
        <x:v>0</x:v>
      </x:c>
    </x:row>
    <x:row r="9" ht="22" customHeight="1">
      <x:c r="A9" s="21" t="str">
        <x:v>Final Verified</x:v>
      </x:c>
      <x:c r="B9" s="21" t="n">
        <x:f>COUNTIF('Tracker'!$V$2:$V$34,"Verified")</x:f>
        <x:v>31</x:v>
      </x:c>
      <x:c r="D9" s="21" t="str">
        <x:v>Rows With Commit Hash</x:v>
      </x:c>
      <x:c r="E9" s="21" t="n">
        <x:v>33</x:v>
      </x:c>
    </x:row>
    <x:row r="10" ht="22" customHeight="1">
      <x:c r="A10" s="21" t="str">
        <x:v>Blocked</x:v>
      </x:c>
      <x:c r="B10" s="21" t="n">
        <x:f>COUNTIF('Tracker'!$V$2:$V$34,"Blocked")</x:f>
        <x:v>0</x:v>
      </x:c>
    </x:row>
    <x:row r="11" ht="22" customHeight="1"/>
    <x:row r="12" ht="40" customHeight="1">
      <x:c r="A12" s="26" t="str">
        <x:v>Use Tracker as the working sheet. Dashboard values are calculated during generation and exported as a portable snapshot.</x:v>
      </x:c>
      <x:c r="B12" s="26"/>
      <x:c r="C12" s="26"/>
      <x:c r="D12" s="26"/>
      <x:c r="E12" s="26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:F1"/>
    <x:mergeCell ref="A12:F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22" customHeight="1">
      <x:c r="A1" s="18" t="str">
        <x:v>Feature QA Workbook Guide</x:v>
      </x:c>
      <x:c r="B1" s="18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F1"/>
  </x:mergeCells>
  <x:pageMargins left="0.7" right="0.7" top="0.75" bottom="0.75" header="0.3" footer="0.3"/>
</x:worksheet>
</file>