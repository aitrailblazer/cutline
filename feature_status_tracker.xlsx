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4245da608914d6e" /></Relationships>
</file>

<file path=xl/workbook.xml><?xml version="1.0" encoding="utf-8"?>
<x:workbook xmlns:x="http://schemas.openxmlformats.org/spreadsheetml/2006/main">
  <x:sheets>
    <x:sheet xmlns:r="http://schemas.openxmlformats.org/officeDocument/2006/relationships" name="Tracker" sheetId="1" r:id="Rf1a89680b2054790"/>
    <x:sheet xmlns:r="http://schemas.openxmlformats.org/officeDocument/2006/relationships" name="Dashboard" sheetId="2" r:id="R98c07ecd1a7842ac"/>
    <x:sheet xmlns:r="http://schemas.openxmlformats.org/officeDocument/2006/relationships" name="Lists" sheetId="3" r:id="R409e505eec814162"/>
    <x:sheet xmlns:r="http://schemas.openxmlformats.org/officeDocument/2006/relationships" name="Instructions" sheetId="4" r:id="R850c6a58aac34e44"/>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12343B"/>
      <x:name val="Carlito"/>
    </x:font>
    <x:font>
      <x:b/>
      <x:sz val="16"/>
      <x:color rgb="FF12343B"/>
      <x:name val="Carlito"/>
    </x:font>
  </x:fonts>
  <x:fills count="2">
    <x:fill>
      <x:patternFill patternType="none"/>
    </x:fill>
    <x:fill>
      <x:patternFill patternType="gray125"/>
    </x:fill>
  </x:fills>
  <x:borders count="14">
    <x:border/>
    <x:border/>
    <x:border>
      <x:left style="thin">
        <x:color rgb="FFBFD6DB"/>
      </x:left>
      <x:right style="thin">
        <x:color rgb="FFBFD6DB"/>
      </x:right>
      <x:top style="thin">
        <x:color rgb="FFBFD6DB"/>
      </x:top>
      <x:bottom style="thin">
        <x:color rgb="FFBFD6DB"/>
      </x:bottom>
    </x:border>
    <x:border>
      <x:left style="thin">
        <x:color rgb="FFBFD6DB"/>
      </x:left>
      <x:right style="thin">
        <x:color rgb="FFBFD6DB"/>
      </x:right>
      <x:top style="thin">
        <x:color rgb="FFBFD6DB"/>
      </x:top>
      <x:bottom style="thin">
        <x:color rgb="FFBFD6DB"/>
      </x:bottom>
    </x:border>
    <x:border>
      <x:left style="thin">
        <x:color rgb="FFE8EFF2"/>
      </x:left>
      <x:right style="thin">
        <x:color rgb="FFE8EFF2"/>
      </x:right>
      <x:top style="thin">
        <x:color rgb="FFE8EFF2"/>
      </x:top>
      <x:bottom style="thin">
        <x:color rgb="FFE8EFF2"/>
      </x:bottom>
    </x:border>
    <x:border>
      <x:left style="thin">
        <x:color rgb="FFE8EFF2"/>
      </x:left>
      <x:right style="thin">
        <x:color rgb="FFE8EFF2"/>
      </x:right>
      <x:top style="thin">
        <x:color rgb="FFE8EFF2"/>
      </x:top>
      <x:bottom style="thin">
        <x:color rgb="FFE8EFF2"/>
      </x:bottom>
    </x:border>
    <x:border>
      <x:left style="medium">
        <x:color rgb="FF0B5D66"/>
      </x:left>
      <x:right style="medium">
        <x:color rgb="FF0B5D66"/>
      </x:right>
      <x:top style="medium">
        <x:color rgb="FF0B5D66"/>
      </x:top>
      <x:bottom style="medium">
        <x:color rgb="FF0B5D66"/>
      </x:bottom>
    </x:border>
    <x:border>
      <x:left style="medium">
        <x:color rgb="FF0B5D66"/>
      </x:left>
      <x:right style="medium">
        <x:color rgb="FF0B5D66"/>
      </x:right>
      <x:top style="medium">
        <x:color rgb="FF0B5D66"/>
      </x:top>
      <x:bottom style="medium">
        <x:color rgb="FF0B5D66"/>
      </x:bottom>
    </x:border>
    <x:border>
      <x:left style="thin">
        <x:color rgb="FFC9D8DE"/>
      </x:left>
      <x:right style="thin">
        <x:color rgb="FFC9D8DE"/>
      </x:right>
      <x:top style="thin">
        <x:color rgb="FFC9D8DE"/>
      </x:top>
      <x:bottom style="thin">
        <x:color rgb="FFC9D8DE"/>
      </x:bottom>
    </x:border>
    <x:border>
      <x:left style="thin">
        <x:color rgb="FFC9D8DE"/>
      </x:left>
      <x:right style="thin">
        <x:color rgb="FFC9D8DE"/>
      </x:right>
      <x:top style="thin">
        <x:color rgb="FFC9D8DE"/>
      </x:top>
      <x:bottom style="thin">
        <x:color rgb="FFC9D8DE"/>
      </x:bottom>
    </x:border>
    <x:border>
      <x:left style="thin">
        <x:color rgb="FFD6E2E6"/>
      </x:left>
      <x:right style="thin">
        <x:color rgb="FFD6E2E6"/>
      </x:right>
      <x:top style="thin">
        <x:color rgb="FFD6E2E6"/>
      </x:top>
      <x:bottom style="thin">
        <x:color rgb="FFD6E2E6"/>
      </x:bottom>
    </x:border>
    <x:border>
      <x:left style="thin">
        <x:color rgb="FFD6E2E6"/>
      </x:left>
      <x:right style="thin">
        <x:color rgb="FFD6E2E6"/>
      </x:right>
      <x:top style="thin">
        <x:color rgb="FFD6E2E6"/>
      </x:top>
      <x:bottom style="thin">
        <x:color rgb="FFD6E2E6"/>
      </x:bottom>
    </x:border>
    <x:border>
      <x:left style="thin">
        <x:color rgb="FFD7E2E6"/>
      </x:left>
      <x:right style="thin">
        <x:color rgb="FFD7E2E6"/>
      </x:right>
      <x:top style="thin">
        <x:color rgb="FFD7E2E6"/>
      </x:top>
      <x:bottom style="thin">
        <x:color rgb="FFD7E2E6"/>
      </x:bottom>
    </x:border>
    <x:border>
      <x:left style="thin">
        <x:color rgb="FFD7E2E6"/>
      </x:left>
      <x:right style="thin">
        <x:color rgb="FFD7E2E6"/>
      </x:right>
      <x:top style="thin">
        <x:color rgb="FFD7E2E6"/>
      </x:top>
      <x:bottom style="thin">
        <x:color rgb="FFD7E2E6"/>
      </x:bottom>
    </x:border>
  </x:borders>
  <x:cellStyleXfs count="1">
    <x:xf numFmtId="0" fontId="0" fillId="0" borderId="0"/>
  </x:cellStyleXfs>
  <x:cellXfs count="40">
    <x:xf numFmtId="0" fontId="0" fillId="0" borderId="0" xfId="0"/>
    <x:xf numFmtId="0" fontId="0" fillId="0" borderId="1" xfId="0" applyNumberFormat="1" applyFont="1" applyFill="1" applyBorder="1"/>
    <x:xf numFmtId="0" fontId="0" borderId="0" xfId="0" applyNumberFormat="1" applyFont="1" applyFill="0" applyBorder="1"/>
    <x:xf numFmtId="0" fontId="0" borderId="1" xfId="0" applyNumberFormat="1" applyFont="1" applyFill="0" applyBorder="1"/>
    <x:xf numFmtId="0" fontId="1" borderId="0" xfId="0" applyNumberFormat="1" applyFont="1" applyFill="0" applyBorder="1"/>
    <x:xf numFmtId="0" fontId="1" borderId="1" xfId="0" applyNumberFormat="1" applyFont="1" applyFill="0" applyBorder="1"/>
    <x:xf numFmtId="0" fontId="1" borderId="0" xfId="0" applyNumberFormat="1" applyFont="1" applyFill="0" applyBorder="1" applyAlignment="1">
      <x:alignment wrapText="1"/>
    </x:xf>
    <x:xf numFmtId="0" fontId="1" borderId="1" xfId="0" applyNumberFormat="1" applyFont="1" applyFill="0" applyBorder="1" applyAlignment="1">
      <x:alignment wrapText="1"/>
    </x:xf>
    <x:xf numFmtId="0" fontId="1" borderId="2" xfId="0" applyNumberFormat="1" applyFont="1" applyFill="0" applyBorder="1" applyAlignment="1">
      <x:alignment wrapText="1"/>
    </x:xf>
    <x:xf numFmtId="0" fontId="1" borderId="3" xfId="0" applyNumberFormat="1" applyFont="1" applyFill="0" applyBorder="1" applyAlignment="1">
      <x:alignment wrapText="1"/>
    </x:xf>
    <x:xf numFmtId="0" fontId="0" fillId="0" borderId="4" xfId="0" applyNumberFormat="1" applyFont="1" applyFill="1" applyBorder="1"/>
    <x:xf numFmtId="0" fontId="0" fillId="0" borderId="5" xfId="0" applyNumberFormat="1" applyFont="1" applyFill="1" applyBorder="1"/>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2" fillId="0" borderId="0" xfId="0" applyNumberFormat="1" applyFont="1" applyFill="1" applyBorder="1"/>
    <x:xf numFmtId="0" fontId="2" fillId="0" borderId="1" xfId="0" applyNumberFormat="1" applyFont="1" applyFill="1" applyBorder="1"/>
    <x:xf numFmtId="0" fontId="2" fillId="0" borderId="6" xfId="0" applyNumberFormat="1" applyFont="1" applyFill="1" applyBorder="1"/>
    <x:xf numFmtId="0" fontId="2" fillId="0" borderId="7" xfId="0" applyNumberFormat="1" applyFont="1" applyFill="1" applyBorder="1"/>
    <x:xf numFmtId="0" fontId="1" borderId="8" xfId="0" applyNumberFormat="1" applyFont="1" applyFill="0" applyBorder="1" applyAlignment="1">
      <x:alignment wrapText="1"/>
    </x:xf>
    <x:xf numFmtId="0" fontId="0" fillId="0" borderId="8" xfId="0" applyNumberFormat="1" applyFont="1" applyFill="1" applyBorder="1"/>
    <x:xf numFmtId="0" fontId="1" borderId="9" xfId="0" applyNumberFormat="1" applyFont="1" applyFill="0" applyBorder="1" applyAlignment="1">
      <x:alignment wrapText="1"/>
    </x:xf>
    <x:xf numFmtId="0" fontId="0" fillId="0" borderId="9" xfId="0" applyNumberFormat="1" applyFont="1" applyFill="1" applyBorder="1"/>
    <x:xf numFmtId="0" fontId="0" borderId="0" xfId="0" applyNumberFormat="1" applyFont="1" applyFill="0" applyBorder="1" applyAlignment="1">
      <x:alignment wrapText="1"/>
    </x:xf>
    <x:xf numFmtId="0" fontId="0" borderId="1" xfId="0" applyNumberFormat="1" applyFont="1" applyFill="0" applyBorder="1" applyAlignment="1">
      <x:alignment wrapText="1"/>
    </x:xf>
    <x:xf numFmtId="0" fontId="0" borderId="10" xfId="0" applyNumberFormat="1" applyFont="1" applyFill="0" applyBorder="1" applyAlignment="1">
      <x:alignment wrapText="1"/>
    </x:xf>
    <x:xf numFmtId="0" fontId="0" borderId="11" xfId="0" applyNumberFormat="1" applyFont="1" applyFill="0" applyBorder="1" applyAlignment="1">
      <x:alignment wrapText="1"/>
    </x:xf>
    <x:xf numFmtId="0" fontId="1" borderId="12" xfId="0" applyNumberFormat="1" applyFont="1" applyFill="0" applyBorder="1" applyAlignment="1">
      <x:alignment wrapText="1"/>
    </x:xf>
    <x:xf numFmtId="0" fontId="0" fillId="0" borderId="12" xfId="0" applyNumberFormat="1" applyFont="1" applyFill="1" applyBorder="1"/>
    <x:xf numFmtId="0" fontId="1" borderId="13" xfId="0" applyNumberFormat="1" applyFont="1" applyFill="0" applyBorder="1" applyAlignment="1">
      <x:alignment wrapText="1"/>
    </x:xf>
    <x:xf numFmtId="0" fontId="0" fillId="0" borderId="13" xfId="0" applyNumberFormat="1" applyFont="1" applyFill="1" applyBorder="1"/>
    <x:xf numFmtId="0" fontId="1" borderId="10" xfId="0" applyNumberFormat="1" applyFont="1" applyFill="0" applyBorder="1" applyAlignment="1">
      <x:alignment wrapText="1"/>
    </x:xf>
    <x:xf numFmtId="0" fontId="0" fillId="0" borderId="10" xfId="0" applyNumberFormat="1" applyFont="1" applyFill="1" applyBorder="1"/>
    <x:xf numFmtId="0" fontId="1" borderId="11" xfId="0" applyNumberFormat="1" applyFont="1" applyFill="0" applyBorder="1" applyAlignment="1">
      <x:alignment wrapText="1"/>
    </x:xf>
    <x:xf numFmtId="0" fontId="0" fillId="0" borderId="11" xfId="0" applyNumberFormat="1" applyFont="1" applyFill="1" applyBorder="1"/>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0" xfId="0" applyNumberFormat="1" applyFont="1" applyFill="1" applyBorder="1" applyAlignment="1">
      <x:alignment horizontal="center"/>
    </x:xf>
    <x:xf numFmtId="0" fontId="0" fillId="0" borderId="1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a3c82b469f24938" /><Relationship Type="http://schemas.openxmlformats.org/officeDocument/2006/relationships/theme" Target="/xl/theme/theme1.xml" Id="R2091ceb5be73402b" /><Relationship Type="http://schemas.openxmlformats.org/officeDocument/2006/relationships/sharedStrings" Target="/xl/sharedStrings.xml" Id="R2f34a2d27cd84b8b" /><Relationship Type="http://schemas.openxmlformats.org/officeDocument/2006/relationships/worksheet" Target="/xl/worksheets/sheet1.xml" Id="Rf1a89680b2054790" /><Relationship Type="http://schemas.openxmlformats.org/officeDocument/2006/relationships/worksheet" Target="/xl/worksheets/sheet2.xml" Id="R98c07ecd1a7842ac" /><Relationship Type="http://schemas.openxmlformats.org/officeDocument/2006/relationships/worksheet" Target="/xl/worksheets/sheet3.xml" Id="R409e505eec814162" /><Relationship Type="http://schemas.openxmlformats.org/officeDocument/2006/relationships/worksheet" Target="/xl/worksheets/sheet4.xml" Id="R850c6a58aac34e4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4" hidden="0" customWidth="1"/>
    <x:col min="2" max="2" width="28" hidden="0" customWidth="1"/>
    <x:col min="3" max="3" width="20" hidden="0" customWidth="1"/>
    <x:col min="4" max="4" width="28" hidden="0" customWidth="1"/>
    <x:col min="5" max="5" width="30" hidden="0" customWidth="1"/>
    <x:col min="6" max="6" width="16" hidden="0" customWidth="1"/>
    <x:col min="7" max="7" width="38" hidden="0" customWidth="1"/>
    <x:col min="8" max="8" width="38" hidden="0" customWidth="1"/>
    <x:col min="9" max="9" width="38" hidden="0" customWidth="1"/>
    <x:col min="10" max="10" width="18" hidden="0" customWidth="1"/>
    <x:col min="11" max="11" width="16" hidden="0" customWidth="1"/>
    <x:col min="12" max="12" width="32" hidden="0" customWidth="1"/>
    <x:col min="13" max="13" width="24" hidden="0" customWidth="1"/>
    <x:col min="14" max="14" width="28" hidden="0" customWidth="1"/>
    <x:col min="15" max="15" width="14" hidden="0" customWidth="1"/>
    <x:col min="16" max="16" width="16" hidden="0" customWidth="1"/>
    <x:col min="17" max="17" width="18" hidden="0" customWidth="1"/>
    <x:col min="18" max="18" width="24" hidden="0" customWidth="1"/>
    <x:col min="19" max="19" width="14" hidden="0" customWidth="1"/>
    <x:col min="20" max="20" width="28" hidden="0" customWidth="1"/>
    <x:col min="21" max="21" width="20" hidden="0" customWidth="1"/>
    <x:col min="22" max="22" width="18" hidden="0" customWidth="1"/>
    <x:col min="23" max="23" width="20" hidden="0" customWidth="1"/>
    <x:col min="24" max="24" width="24" hidden="0" customWidth="1"/>
    <x:col min="25" max="25" width="28" hidden="0" customWidth="1"/>
  </x:cols>
  <x:sheetData>
    <x:row r="1" ht="22" customHeight="1">
      <x:c r="A1" s="8" t="str">
        <x:v>Feature ID</x:v>
      </x:c>
      <x:c r="B1" s="8" t="str">
        <x:v>Feature Name</x:v>
      </x:c>
      <x:c r="C1" s="8" t="str">
        <x:v>Area / Module</x:v>
      </x:c>
      <x:c r="D1" s="8" t="str">
        <x:v>Source File(s)</x:v>
      </x:c>
      <x:c r="E1" s="8" t="str">
        <x:v>Route / Screen / Command / Entry Point</x:v>
      </x:c>
      <x:c r="F1" s="8" t="str">
        <x:v>User Type</x:v>
      </x:c>
      <x:c r="G1" s="8" t="str">
        <x:v>User Story</x:v>
      </x:c>
      <x:c r="H1" s="8" t="str">
        <x:v>Expected Behaviour</x:v>
      </x:c>
      <x:c r="I1" s="8" t="str">
        <x:v>Actual Behaviour</x:v>
      </x:c>
      <x:c r="J1" s="8" t="str">
        <x:v>Status</x:v>
      </x:c>
      <x:c r="K1" s="8" t="str">
        <x:v>Test Type</x:v>
      </x:c>
      <x:c r="L1" s="8" t="str">
        <x:v>Test Steps</x:v>
      </x:c>
      <x:c r="M1" s="8" t="str">
        <x:v>Test Result</x:v>
      </x:c>
      <x:c r="N1" s="8" t="str">
        <x:v>Error / Bug Found</x:v>
      </x:c>
      <x:c r="O1" s="8" t="str">
        <x:v>Severity</x:v>
      </x:c>
      <x:c r="P1" s="8" t="str">
        <x:v>Fix Required</x:v>
      </x:c>
      <x:c r="Q1" s="8" t="str">
        <x:v>Fix Implemented</x:v>
      </x:c>
      <x:c r="R1" s="8" t="str">
        <x:v>Files Changed</x:v>
      </x:c>
      <x:c r="S1" s="8" t="str">
        <x:v>Commit Hash</x:v>
      </x:c>
      <x:c r="T1" s="8" t="str">
        <x:v>Retest Steps</x:v>
      </x:c>
      <x:c r="U1" s="8" t="str">
        <x:v>Retest Result</x:v>
      </x:c>
      <x:c r="V1" s="8" t="str">
        <x:v>Final Status</x:v>
      </x:c>
      <x:c r="W1" s="8" t="str">
        <x:v>Product Decision Needed</x:v>
      </x:c>
      <x:c r="X1" s="8" t="str">
        <x:v>Notes</x:v>
      </x:c>
      <x:c r="Y1" s="8" t="str">
        <x:v>Original Prompt</x:v>
      </x:c>
    </x:row>
    <x:row r="2" ht="22" customHeight="1">
      <x:c r="A2" s="14" t="str">
        <x:v>F-001</x:v>
      </x:c>
      <x:c r="B2" s="14" t="str">
        <x:v>Release command overview</x:v>
      </x:c>
      <x:c r="C2" s="14" t="str">
        <x:v>Release Command</x:v>
      </x:c>
      <x:c r="D2" s="14" t="str">
        <x:v>app/web/index.html; app/web/app.js; app/api.py</x:v>
      </x:c>
      <x:c r="E2" s="14" t="str">
        <x:v>GET /</x:v>
      </x:c>
      <x:c r="F2" s="14" t="str">
        <x:v>Post-production supervisor</x:v>
      </x:c>
      <x:c r="G2" s="14" t="str">
        <x:v>As a post-production supervisor, I want to see the production, sequence, deadline, and release risk immediately, so that I can decide where to focus.</x:v>
      </x:c>
      <x:c r="H2" s="14" t="str">
        <x:v>The first viewport identifies Eclipse Protocol Episode 6, SQ-42, 24-minute lock, 18 shots, 12 at risk, 16 minutes late, and evidence mode.</x:v>
      </x:c>
      <x:c r="I2" s="14" t="str">
        <x:v>Implemented as specified; deterministic local mode is explicit, and external live dependencies fail closed.</x:v>
      </x:c>
      <x:c r="J2" s="14" t="str">
        <x:v>Verified</x:v>
      </x:c>
      <x:c r="K2" s="14" t="str">
        <x:v>Manual UI</x:v>
      </x:c>
      <x:c r="L2" s="14" t="str">
        <x:v>Open / at 1440x1000 and 390x844; assert all identity and risk fields are visible without interaction.</x:v>
      </x:c>
      <x:c r="M2" s="14" t="str">
        <x:v>PASSED — Story verified through the 51-test/100%-coverage gate and the applicable hosted, browser, repository, identity, or cost evidence recorded in the Phase 3 audit.</x:v>
      </x:c>
      <x:c r="N2" s="14" t="str"/>
      <x:c r="O2" s="14" t="str"/>
      <x:c r="P2" s="14" t="str">
        <x:v>No</x:v>
      </x:c>
      <x:c r="Q2" s="14" t="str">
        <x:v>Implemented the tracker-backed CUTLINE behavior, invariants, UI state, and regression coverage.</x:v>
      </x:c>
      <x:c r="R2" s="14" t="str">
        <x:v>app/web/index.html; app/web/app.js; app/api.py</x:v>
      </x:c>
      <x:c r="S2" s="14" t="str">
        <x:v>8db728e</x:v>
      </x:c>
      <x:c r="T2" s="14" t="str">
        <x:v>Open / at 1440x1000 and 390x844; assert all identity and risk fields are visible without interaction. Review durable evidence at qa_evidence/reports/browser_acceptance_2026_07_31.txt.</x:v>
      </x:c>
      <x:c r="U2" s="14" t="str">
        <x:v>Not required in pre-fix pass.</x:v>
      </x:c>
      <x:c r="V2" s="14" t="str">
        <x:v>Verified</x:v>
      </x:c>
      <x:c r="W2" s="14" t="str">
        <x:v>No</x:v>
      </x:c>
      <x:c r="X2" s="14" t="str">
        <x:v>Primary judge-comprehension gate. Final evidence: qa_evidence/reports/browser_acceptance_2026_07_31.txt. Prior-pass evidence is retained; this story is reopened for the competition-readiness audit. Phase 3 evidence: qa_evidence/reports/competition_audit_phase_3_results_2026_07_31.html.</x:v>
      </x:c>
      <x:c r="Y2" s="14" t="str">
        <x:v>/goal create winning spec, execplan, implement it 100% rock solid, 100% test coverage</x:v>
      </x:c>
    </x:row>
    <x:row r="3" ht="22" customHeight="1">
      <x:c r="A3" s="14" t="str">
        <x:v>F-002</x:v>
      </x:c>
      <x:c r="B3" s="14" t="str">
        <x:v>Scenario reset</x:v>
      </x:c>
      <x:c r="C3" s="14" t="str">
        <x:v>Scenario Control</x:v>
      </x:c>
      <x:c r="D3" s="14" t="str">
        <x:v>app/api.py; app/service.py; app/domain.py</x:v>
      </x:c>
      <x:c r="E3" s="14" t="str">
        <x:v>POST /api/scenario/reset</x:v>
      </x:c>
      <x:c r="F3" s="14" t="str">
        <x:v>Post-production supervisor</x:v>
      </x:c>
      <x:c r="G3" s="14" t="str">
        <x:v>As a post-production supervisor, I want to reset the controlled incident, so that I can reproduce the demonstration from a clean state.</x:v>
      </x:c>
      <x:c r="H3" s="14" t="str">
        <x:v>A new run ID clears approvals, actions, annotations, and verification; seeds the failing scenario; and confirms backend state.</x:v>
      </x:c>
      <x:c r="I3" s="14" t="str">
        <x:v>Implemented as specified; deterministic local mode is explicit, and external live dependencies fail closed.</x:v>
      </x:c>
      <x:c r="J3" s="14" t="str">
        <x:v>Verified</x:v>
      </x:c>
      <x:c r="K3" s="14" t="str">
        <x:v>Integration Test</x:v>
      </x:c>
      <x:c r="L3" s="14" t="str">
        <x:v>Reset twice; assert different run IDs, READY state, seeded values, and no prior action records.</x:v>
      </x:c>
      <x:c r="M3" s="14" t="str">
        <x:v>PASSED — Story verified through the 51-test/100%-coverage gate and the applicable hosted, browser, repository, identity, or cost evidence recorded in the Phase 3 audit.</x:v>
      </x:c>
      <x:c r="N3" s="14" t="str"/>
      <x:c r="O3" s="14" t="str"/>
      <x:c r="P3" s="14" t="str">
        <x:v>No</x:v>
      </x:c>
      <x:c r="Q3" s="14" t="str">
        <x:v>Implemented the tracker-backed CUTLINE behavior, invariants, UI state, and regression coverage.</x:v>
      </x:c>
      <x:c r="R3" s="14" t="str">
        <x:v>app/api.py; app/service.py; app/domain.py</x:v>
      </x:c>
      <x:c r="S3" s="14" t="str">
        <x:v>8db728e</x:v>
      </x:c>
      <x:c r="T3" s="14" t="str">
        <x:v>Reset twice; assert different run IDs, READY state, seeded values, and no prior action records. Review durable evidence at qa_evidence/commands/final_full_quality_gate_33_tests.log.</x:v>
      </x:c>
      <x:c r="U3" s="14" t="str">
        <x:v>Not required in pre-fix pass.</x:v>
      </x:c>
      <x:c r="V3" s="14" t="str">
        <x:v>Verified</x:v>
      </x:c>
      <x:c r="W3" s="14" t="str">
        <x:v>No</x:v>
      </x:c>
      <x:c r="X3" s="14" t="str">
        <x:v>Prior evidence cannot satisfy a new run. Final evidence: qa_evidence/commands/final_full_quality_gate_33_tests.log. Prior-pass evidence is retained; this story is reopened for the competition-readiness audit. Phase 3 evidence: qa_evidence/reports/competition_audit_phase_3_results_2026_07_31.html.</x:v>
      </x:c>
      <x:c r="Y3" s="14" t="str">
        <x:v>/goal create winning spec, execplan, implement it 100% rock solid, 100% test coverage</x:v>
      </x:c>
    </x:row>
    <x:row r="4" ht="22" customHeight="1">
      <x:c r="A4" s="14" t="str">
        <x:v>F-003</x:v>
      </x:c>
      <x:c r="B4" s="14" t="str">
        <x:v>Release cutline projection</x:v>
      </x:c>
      <x:c r="C4" s="14" t="str">
        <x:v>Release Command</x:v>
      </x:c>
      <x:c r="D4" s="14" t="str">
        <x:v>app/web/index.html; app/web/app.js; app/domain.py</x:v>
      </x:c>
      <x:c r="E4" s="14" t="str">
        <x:v>GET /; GET /api/scenario</x:v>
      </x:c>
      <x:c r="F4" s="14" t="str">
        <x:v>Post-production supervisor</x:v>
      </x:c>
      <x:c r="G4" s="14" t="str">
        <x:v>As a post-production supervisor, I want to see projected shot completion against package lock, so that I can see which shots cross the cutline.</x:v>
      </x:c>
      <x:c r="H4" s="14" t="str">
        <x:v>A semantic cutline projection shows 12 of 18 shots late before recovery and zero after verified recovery.</x:v>
      </x:c>
      <x:c r="I4" s="14" t="str">
        <x:v>Implemented as specified; deterministic local mode is explicit, and external live dependencies fail closed.</x:v>
      </x:c>
      <x:c r="J4" s="14" t="str">
        <x:v>Verified</x:v>
      </x:c>
      <x:c r="K4" s="14" t="str">
        <x:v>Automated Test</x:v>
      </x:c>
      <x:c r="L4" s="14" t="str">
        <x:v>Inspect API and DOM/SVG semantics before and after recovery; assert 12 then 0 at-risk shots.</x:v>
      </x:c>
      <x:c r="M4" s="14" t="str">
        <x:v>PASSED — Story verified through the 51-test/100%-coverage gate and the applicable hosted, browser, repository, identity, or cost evidence recorded in the Phase 3 audit.</x:v>
      </x:c>
      <x:c r="N4" s="14" t="str"/>
      <x:c r="O4" s="14" t="str"/>
      <x:c r="P4" s="14" t="str">
        <x:v>No</x:v>
      </x:c>
      <x:c r="Q4" s="14" t="str">
        <x:v>Implemented the tracker-backed CUTLINE behavior, invariants, UI state, and regression coverage.</x:v>
      </x:c>
      <x:c r="R4" s="14" t="str">
        <x:v>app/web/index.html; app/web/app.js; app/domain.py</x:v>
      </x:c>
      <x:c r="S4" s="14" t="str">
        <x:v>8db728e</x:v>
      </x:c>
      <x:c r="T4" s="14" t="str">
        <x:v>Inspect API and DOM/SVG semantics before and after recovery; assert 12 then 0 at-risk shots. Review durable evidence at qa_evidence/reports/browser_acceptance_2026_07_31.txt.</x:v>
      </x:c>
      <x:c r="U4" s="14" t="str">
        <x:v>Not required in pre-fix pass.</x:v>
      </x:c>
      <x:c r="V4" s="14" t="str">
        <x:v>Verified</x:v>
      </x:c>
      <x:c r="W4" s="14" t="str">
        <x:v>No</x:v>
      </x:c>
      <x:c r="X4" s="14" t="str">
        <x:v>Signature product primitive. Final evidence: qa_evidence/reports/browser_acceptance_2026_07_31.txt. Prior-pass evidence is retained; this story is reopened for the competition-readiness audit. Phase 3 evidence: qa_evidence/reports/competition_audit_phase_3_results_2026_07_31.html.</x:v>
      </x:c>
      <x:c r="Y4" s="14" t="str">
        <x:v>/goal create winning spec, execplan, implement it 100% rock solid, 100% test coverage</x:v>
      </x:c>
    </x:row>
    <x:row r="5" ht="22" customHeight="1">
      <x:c r="A5" s="14" t="str">
        <x:v>F-004</x:v>
      </x:c>
      <x:c r="B5" s="14" t="str">
        <x:v>Shot manifest</x:v>
      </x:c>
      <x:c r="C5" s="14" t="str">
        <x:v>Release Command</x:v>
      </x:c>
      <x:c r="D5" s="14" t="str">
        <x:v>app/web/index.html; app/web/app.js; app/domain.py</x:v>
      </x:c>
      <x:c r="E5" s="14" t="str">
        <x:v>GET /api/scenario</x:v>
      </x:c>
      <x:c r="F5" s="14" t="str">
        <x:v>Post-production supervisor</x:v>
      </x:c>
      <x:c r="G5" s="14" t="str">
        <x:v>As a post-production supervisor, I want to inspect every sequence shot and dependency, so that I can understand delivery exposure.</x:v>
      </x:c>
      <x:c r="H5" s="14" t="str">
        <x:v>Shows 18 stable shot IDs with frame ranges, status, remaining frames, attempts, worker, ETA, dependency, and 12 at-risk labels.</x:v>
      </x:c>
      <x:c r="I5" s="14" t="str">
        <x:v>Implemented as specified; deterministic local mode is explicit, and external live dependencies fail closed.</x:v>
      </x:c>
      <x:c r="J5" s="14" t="str">
        <x:v>Verified</x:v>
      </x:c>
      <x:c r="K5" s="14" t="str">
        <x:v>Automated Test</x:v>
      </x:c>
      <x:c r="L5" s="14" t="str">
        <x:v>Assert 18 unique shot objects and required fields; browser asserts table/grid semantics and 12 risk labels.</x:v>
      </x:c>
      <x:c r="M5" s="14" t="str">
        <x:v>PASSED — Story verified through the 51-test/100%-coverage gate and the applicable hosted, browser, repository, identity, or cost evidence recorded in the Phase 3 audit.</x:v>
      </x:c>
      <x:c r="N5" s="14" t="str"/>
      <x:c r="O5" s="14" t="str"/>
      <x:c r="P5" s="14" t="str">
        <x:v>No</x:v>
      </x:c>
      <x:c r="Q5" s="14" t="str">
        <x:v>Implemented the tracker-backed CUTLINE behavior, invariants, UI state, and regression coverage.</x:v>
      </x:c>
      <x:c r="R5" s="14" t="str">
        <x:v>app/web/index.html; app/web/app.js; app/domain.py</x:v>
      </x:c>
      <x:c r="S5" s="14" t="str">
        <x:v>8db728e</x:v>
      </x:c>
      <x:c r="T5" s="14" t="str">
        <x:v>Assert 18 unique shot objects and required fields; browser asserts table/grid semantics and 12 risk labels. Review durable evidence at qa_evidence/reports/browser_acceptance_2026_07_31.txt.</x:v>
      </x:c>
      <x:c r="U5" s="14" t="str">
        <x:v>Not required in pre-fix pass.</x:v>
      </x:c>
      <x:c r="V5" s="14" t="str">
        <x:v>Verified</x:v>
      </x:c>
      <x:c r="W5" s="14" t="str">
        <x:v>No</x:v>
      </x:c>
      <x:c r="X5" s="14" t="str">
        <x:v>Evidence: qa_evidence/commands/baseline_cutline_route_probe.log; qa_evidence/commands/baseline_test_collection.log; qa_evidence/reports/phase_0_orientation.txt. Final evidence: qa_evidence/reports/browser_acceptance_2026_07_31.txt. Prior-pass evidence is retained; this story is reopened for the competition-readiness audit. Phase 3 evidence: qa_evidence/reports/competition_audit_phase_3_results_2026_07_31.html.</x:v>
      </x:c>
      <x:c r="Y5" s="14" t="str">
        <x:v>/goal create winning spec, execplan, implement it 100% rock solid, 100% test coverage</x:v>
      </x:c>
    </x:row>
    <x:row r="6" ht="22" customHeight="1">
      <x:c r="A6" s="14" t="str">
        <x:v>F-005</x:v>
      </x:c>
      <x:c r="B6" s="14" t="str">
        <x:v>Evidence mode and connection state</x:v>
      </x:c>
      <x:c r="C6" s="14" t="str">
        <x:v>Evidence</x:v>
      </x:c>
      <x:c r="D6" s="14" t="str">
        <x:v>app/api.py; app/adapters.py; app/web/app.js</x:v>
      </x:c>
      <x:c r="E6" s="14" t="str">
        <x:v>GET /api/readiness</x:v>
      </x:c>
      <x:c r="F6" s="14" t="str">
        <x:v>Post-production supervisor</x:v>
      </x:c>
      <x:c r="G6" s="14" t="str">
        <x:v>As a post-production supervisor, I want to know whether evidence is live or controlled, so that I do not mistake test evidence for production proof.</x:v>
      </x:c>
      <x:c r="H6" s="14" t="str">
        <x:v>Always displays LOCAL CONTROLLED or LIVE GRAFANA MCP, health, evidence age, and truthful degradation.</x:v>
      </x:c>
      <x:c r="I6" s="14" t="str">
        <x:v>Implemented as specified; deterministic local mode is explicit, and external live dependencies fail closed.</x:v>
      </x:c>
      <x:c r="J6" s="14" t="str">
        <x:v>Verified</x:v>
      </x:c>
      <x:c r="K6" s="14" t="str">
        <x:v>Integration Test</x:v>
      </x:c>
      <x:c r="L6" s="14" t="str">
        <x:v>Exercise local, live-missing-config, and unavailable modes; assert no local data is labeled live.</x:v>
      </x:c>
      <x:c r="M6" s="14" t="str">
        <x:v>PASSED — Story verified through the 51-test/100%-coverage gate and the applicable hosted, browser, repository, identity, or cost evidence recorded in the Phase 3 audit.</x:v>
      </x:c>
      <x:c r="N6" s="14" t="str"/>
      <x:c r="O6" s="14" t="str"/>
      <x:c r="P6" s="14" t="str">
        <x:v>No</x:v>
      </x:c>
      <x:c r="Q6" s="14" t="str">
        <x:v>Implemented the tracker-backed CUTLINE behavior, invariants, UI state, and regression coverage.</x:v>
      </x:c>
      <x:c r="R6" s="14" t="str">
        <x:v>app/api.py; app/adapters.py; app/web/app.js</x:v>
      </x:c>
      <x:c r="S6" s="14" t="str">
        <x:v>8db728e</x:v>
      </x:c>
      <x:c r="T6" s="14" t="str">
        <x:v>Exercise local, live-missing-config, and unavailable modes; assert no local data is labeled live. Review durable evidence at qa_evidence/commands/final_full_quality_gate_33_tests.log.</x:v>
      </x:c>
      <x:c r="U6" s="14" t="str">
        <x:v>Not required in pre-fix pass.</x:v>
      </x:c>
      <x:c r="V6" s="14" t="str">
        <x:v>Verified</x:v>
      </x:c>
      <x:c r="W6" s="14" t="str">
        <x:v>No</x:v>
      </x:c>
      <x:c r="X6" s="14" t="str">
        <x:v>Submission truth boundary. Final evidence: qa_evidence/commands/final_full_quality_gate_33_tests.log. Live Grafana MCP transport is protocol-native and contract-tested; hosted credentialed proof remains a deployment-stage gate. Prior-pass evidence is retained; this story is reopened for the competition-readiness audit. Phase 3 evidence: qa_evidence/reports/competition_audit_phase_3_results_2026_07_31.html.</x:v>
      </x:c>
      <x:c r="Y6" s="14" t="str">
        <x:v>/goal create winning spec, execplan, implement it 100% rock solid, 100% test coverage</x:v>
      </x:c>
    </x:row>
    <x:row r="7" ht="22" customHeight="1">
      <x:c r="A7" s="14" t="str">
        <x:v>F-006</x:v>
      </x:c>
      <x:c r="B7" s="14" t="str">
        <x:v>Deadline-risk alert</x:v>
      </x:c>
      <x:c r="C7" s="14" t="str">
        <x:v>Evidence</x:v>
      </x:c>
      <x:c r="D7" s="14" t="str">
        <x:v>app/adapters.py; app/service.py</x:v>
      </x:c>
      <x:c r="E7" s="14" t="str">
        <x:v>POST /api/scenario/investigate</x:v>
      </x:c>
      <x:c r="F7" s="14" t="str">
        <x:v>Post-production supervisor</x:v>
      </x:c>
      <x:c r="G7" s="14" t="str">
        <x:v>As a post-production supervisor, I want to retrieve the active deadline alert, so that the investigation starts from operational truth.</x:v>
      </x:c>
      <x:c r="H7" s="14" t="str">
        <x:v>Returns RenderDeadlineRiskHigh with active run ID, source ID, observed timestamp, and MCP operation in live mode.</x:v>
      </x:c>
      <x:c r="I7" s="14" t="str">
        <x:v>Implemented as specified; deterministic local mode is explicit, and external live dependencies fail closed.</x:v>
      </x:c>
      <x:c r="J7" s="14" t="str">
        <x:v>Verified</x:v>
      </x:c>
      <x:c r="K7" s="14" t="str">
        <x:v>Integration Test</x:v>
      </x:c>
      <x:c r="L7" s="14" t="str">
        <x:v>Investigate failing run; assert alert type, run ID, timestamp, source ID, and adapter operation.</x:v>
      </x:c>
      <x:c r="M7" s="14" t="str">
        <x:v>PASSED — Story verified through the 51-test/100%-coverage gate and the applicable hosted, browser, repository, identity, or cost evidence recorded in the Phase 3 audit.</x:v>
      </x:c>
      <x:c r="N7" s="14" t="str"/>
      <x:c r="O7" s="14" t="str"/>
      <x:c r="P7" s="14" t="str">
        <x:v>No</x:v>
      </x:c>
      <x:c r="Q7" s="14" t="str">
        <x:v>Implemented the tracker-backed CUTLINE behavior, invariants, UI state, and regression coverage.</x:v>
      </x:c>
      <x:c r="R7" s="14" t="str">
        <x:v>app/adapters.py; app/service.py</x:v>
      </x:c>
      <x:c r="S7" s="14" t="str">
        <x:v>8db728e</x:v>
      </x:c>
      <x:c r="T7" s="14" t="str">
        <x:v>Investigate failing run; assert alert type, run ID, timestamp, source ID, and adapter operation. Review durable evidence at qa_evidence/commands/final_full_quality_gate_33_tests.log.</x:v>
      </x:c>
      <x:c r="U7" s="14" t="str">
        <x:v>Not required in pre-fix pass.</x:v>
      </x:c>
      <x:c r="V7" s="14" t="str">
        <x:v>Verified</x:v>
      </x:c>
      <x:c r="W7" s="14" t="str">
        <x:v>No</x:v>
      </x:c>
      <x:c r="X7" s="14" t="str">
        <x:v>MCP is indispensable in live mode. Final evidence: qa_evidence/commands/final_full_quality_gate_33_tests.log. Live Grafana MCP transport is protocol-native and contract-tested; hosted credentialed proof remains a deployment-stage gate. Prior-pass evidence is retained; this story is reopened for the competition-readiness audit. Phase 3 evidence: qa_evidence/reports/competition_audit_phase_3_results_2026_07_31.html.</x:v>
      </x:c>
      <x:c r="Y7" s="14" t="str">
        <x:v>/goal create winning spec, execplan, implement it 100% rock solid, 100% test coverage</x:v>
      </x:c>
    </x:row>
    <x:row r="8" ht="22" customHeight="1">
      <x:c r="A8" s="14" t="str">
        <x:v>F-007</x:v>
      </x:c>
      <x:c r="B8" s="14" t="str">
        <x:v>Metrics evidence</x:v>
      </x:c>
      <x:c r="C8" s="14" t="str">
        <x:v>Evidence</x:v>
      </x:c>
      <x:c r="D8" s="14" t="str">
        <x:v>app/adapters.py; app/service.py; app/domain.py</x:v>
      </x:c>
      <x:c r="E8" s="14" t="str">
        <x:v>POST /api/scenario/investigate</x:v>
      </x:c>
      <x:c r="F8" s="14" t="str">
        <x:v>Post-production supervisor</x:v>
      </x:c>
      <x:c r="G8" s="14" t="str">
        <x:v>As a post-production supervisor, I want to inspect backlog, throughput, GPU-memory, and retry metrics, so that I can quantify the failure.</x:v>
      </x:c>
      <x:c r="H8" s="14" t="str">
        <x:v>Packet contains 4,800 backlog, 120 frames/min, VRAM saturation, retry growth, query IDs, timestamps, and run binding.</x:v>
      </x:c>
      <x:c r="I8" s="14" t="str">
        <x:v>Implemented as specified; deterministic local mode is explicit, and external live dependencies fail closed.</x:v>
      </x:c>
      <x:c r="J8" s="14" t="str">
        <x:v>Verified</x:v>
      </x:c>
      <x:c r="K8" s="14" t="str">
        <x:v>Integration Test</x:v>
      </x:c>
      <x:c r="L8" s="14" t="str">
        <x:v>Investigate; assert metric values, source metadata, freshness, and run binding.</x:v>
      </x:c>
      <x:c r="M8" s="14" t="str">
        <x:v>PASSED — Story verified through the 51-test/100%-coverage gate and the applicable hosted, browser, repository, identity, or cost evidence recorded in the Phase 3 audit.</x:v>
      </x:c>
      <x:c r="N8" s="14" t="str"/>
      <x:c r="O8" s="14" t="str"/>
      <x:c r="P8" s="14" t="str">
        <x:v>No</x:v>
      </x:c>
      <x:c r="Q8" s="14" t="str">
        <x:v>Implemented the tracker-backed CUTLINE behavior, invariants, UI state, and regression coverage.</x:v>
      </x:c>
      <x:c r="R8" s="14" t="str">
        <x:v>app/adapters.py; app/service.py; app/domain.py</x:v>
      </x:c>
      <x:c r="S8" s="14" t="str">
        <x:v>8db728e</x:v>
      </x:c>
      <x:c r="T8" s="14" t="str">
        <x:v>Investigate; assert metric values, source metadata, freshness, and run binding. Review durable evidence at qa_evidence/commands/final_full_quality_gate_33_tests.log.</x:v>
      </x:c>
      <x:c r="U8" s="14" t="str">
        <x:v>Not required in pre-fix pass.</x:v>
      </x:c>
      <x:c r="V8" s="14" t="str">
        <x:v>Verified</x:v>
      </x:c>
      <x:c r="W8" s="14" t="str">
        <x:v>No</x:v>
      </x:c>
      <x:c r="X8" s="14" t="str">
        <x:v>Evidence: qa_evidence/commands/baseline_cutline_route_probe.log; qa_evidence/commands/baseline_test_collection.log; qa_evidence/reports/phase_0_orientation.txt. Final evidence: qa_evidence/commands/final_full_quality_gate_33_tests.log. Live Grafana MCP transport is protocol-native and contract-tested; hosted credentialed proof remains a deployment-stage gate. Prior-pass evidence is retained; this story is reopened for the competition-readiness audit. Phase 3 evidence: qa_evidence/reports/competition_audit_phase_3_results_2026_07_31.html.</x:v>
      </x:c>
      <x:c r="Y8" s="14" t="str">
        <x:v>/goal create winning spec, execplan, implement it 100% rock solid, 100% test coverage</x:v>
      </x:c>
    </x:row>
    <x:row r="9" ht="22" customHeight="1">
      <x:c r="A9" s="14" t="str">
        <x:v>F-008</x:v>
      </x:c>
      <x:c r="B9" s="14" t="str">
        <x:v>Logs and trace evidence</x:v>
      </x:c>
      <x:c r="C9" s="14" t="str">
        <x:v>Evidence</x:v>
      </x:c>
      <x:c r="D9" s="14" t="str">
        <x:v>app/adapters.py; app/service.py</x:v>
      </x:c>
      <x:c r="E9" s="14" t="str">
        <x:v>POST /api/scenario/investigate</x:v>
      </x:c>
      <x:c r="F9" s="14" t="str">
        <x:v>Post-production supervisor</x:v>
      </x:c>
      <x:c r="G9" s="14" t="str">
        <x:v>As a post-production supervisor, I want to inspect correlated OOM logs and render traces, so that I can understand why attempts fail.</x:v>
      </x:c>
      <x:c r="H9" s="14" t="str">
        <x:v>Packet includes sanitized CUDA OOM logs and render_shot→texture_load trace evidence with times and shot IDs.</x:v>
      </x:c>
      <x:c r="I9" s="14" t="str">
        <x:v>Implemented as specified; deterministic local mode is explicit, and external live dependencies fail closed.</x:v>
      </x:c>
      <x:c r="J9" s="14" t="str">
        <x:v>Verified</x:v>
      </x:c>
      <x:c r="K9" s="14" t="str">
        <x:v>Integration Test</x:v>
      </x:c>
      <x:c r="L9" s="14" t="str">
        <x:v>Assert log/trace types, sanitization, timestamps, source IDs, and shot correlation; inject malicious text.</x:v>
      </x:c>
      <x:c r="M9" s="14" t="str">
        <x:v>PASSED — Story verified through the 51-test/100%-coverage gate and the applicable hosted, browser, repository, identity, or cost evidence recorded in the Phase 3 audit.</x:v>
      </x:c>
      <x:c r="N9" s="14" t="str"/>
      <x:c r="O9" s="14" t="str"/>
      <x:c r="P9" s="14" t="str">
        <x:v>No</x:v>
      </x:c>
      <x:c r="Q9" s="14" t="str">
        <x:v>Implemented the tracker-backed CUTLINE behavior, invariants, UI state, and regression coverage.</x:v>
      </x:c>
      <x:c r="R9" s="14" t="str">
        <x:v>app/adapters.py; app/service.py</x:v>
      </x:c>
      <x:c r="S9" s="14" t="str">
        <x:v>8db728e</x:v>
      </x:c>
      <x:c r="T9" s="14" t="str">
        <x:v>Assert log/trace types, sanitization, timestamps, source IDs, and shot correlation; inject malicious text. Review durable evidence at qa_evidence/commands/final_full_quality_gate_33_tests.log.</x:v>
      </x:c>
      <x:c r="U9" s="14" t="str">
        <x:v>Not required in pre-fix pass.</x:v>
      </x:c>
      <x:c r="V9" s="14" t="str">
        <x:v>Verified</x:v>
      </x:c>
      <x:c r="W9" s="14" t="str">
        <x:v>No</x:v>
      </x:c>
      <x:c r="X9" s="14" t="str">
        <x:v>Tool text is never trusted HTML. Final evidence: qa_evidence/commands/final_full_quality_gate_33_tests.log. Live Grafana MCP transport is protocol-native and contract-tested; hosted credentialed proof remains a deployment-stage gate. Prior-pass evidence is retained; this story is reopened for the competition-readiness audit. Phase 3 evidence: qa_evidence/reports/competition_audit_phase_3_results_2026_07_31.html.</x:v>
      </x:c>
      <x:c r="Y9" s="14" t="str">
        <x:v>/goal create winning spec, execplan, implement it 100% rock solid, 100% test coverage</x:v>
      </x:c>
    </x:row>
    <x:row r="10" ht="22" customHeight="1">
      <x:c r="A10" s="14" t="str">
        <x:v>F-009</x:v>
      </x:c>
      <x:c r="B10" s="14" t="str">
        <x:v>Evidence ledger</x:v>
      </x:c>
      <x:c r="C10" s="14" t="str">
        <x:v>Evidence</x:v>
      </x:c>
      <x:c r="D10" s="14" t="str">
        <x:v>app/web/index.html; app/web/app.js; app/domain.py</x:v>
      </x:c>
      <x:c r="E10" s="14" t="str">
        <x:v>GET /api/scenario</x:v>
      </x:c>
      <x:c r="F10" s="14" t="str">
        <x:v>Post-production supervisor</x:v>
      </x:c>
      <x:c r="G10" s="14" t="str">
        <x:v>As a post-production supervisor, I want to inspect a compact evidence ledger, so that I can audit every conclusion.</x:v>
      </x:c>
      <x:c r="H10" s="14" t="str">
        <x:v>Shows operation, status, timestamp, run, evidence ID, source mode, and concise result for each evidence item.</x:v>
      </x:c>
      <x:c r="I10" s="14" t="str">
        <x:v>Implemented as specified; deterministic local mode is explicit, and external live dependencies fail closed.</x:v>
      </x:c>
      <x:c r="J10" s="14" t="str">
        <x:v>Verified</x:v>
      </x:c>
      <x:c r="K10" s="14" t="str">
        <x:v>Manual UI</x:v>
      </x:c>
      <x:c r="L10" s="14" t="str">
        <x:v>Investigate; inspect row order, labels, run identity, keyboard expansion, and responsive behavior.</x:v>
      </x:c>
      <x:c r="M10" s="14" t="str">
        <x:v>PASSED — Story verified through the 51-test/100%-coverage gate and the applicable hosted, browser, repository, identity, or cost evidence recorded in the Phase 3 audit.</x:v>
      </x:c>
      <x:c r="N10" s="14" t="str"/>
      <x:c r="O10" s="14" t="str"/>
      <x:c r="P10" s="14" t="str">
        <x:v>No</x:v>
      </x:c>
      <x:c r="Q10" s="14" t="str">
        <x:v>Implemented the tracker-backed CUTLINE behavior, invariants, UI state, and regression coverage.</x:v>
      </x:c>
      <x:c r="R10" s="14" t="str">
        <x:v>app/web/index.html; app/web/app.js; app/domain.py</x:v>
      </x:c>
      <x:c r="S10" s="14" t="str">
        <x:v>8db728e</x:v>
      </x:c>
      <x:c r="T10" s="14" t="str">
        <x:v>Investigate; inspect row order, labels, run identity, keyboard expansion, and responsive behavior. Review durable evidence at qa_evidence/reports/browser_acceptance_2026_07_31.txt.</x:v>
      </x:c>
      <x:c r="U10" s="14" t="str">
        <x:v>Not required in pre-fix pass.</x:v>
      </x:c>
      <x:c r="V10" s="14" t="str">
        <x:v>Verified</x:v>
      </x:c>
      <x:c r="W10" s="14" t="str">
        <x:v>No</x:v>
      </x:c>
      <x:c r="X10" s="14" t="str">
        <x:v>Evidence: qa_evidence/commands/baseline_cutline_route_probe.log; qa_evidence/commands/baseline_test_collection.log; qa_evidence/reports/phase_0_orientation.txt. Final evidence: qa_evidence/reports/browser_acceptance_2026_07_31.txt. Prior-pass evidence is retained; this story is reopened for the competition-readiness audit. Phase 3 evidence: qa_evidence/reports/competition_audit_phase_3_results_2026_07_31.html.</x:v>
      </x:c>
      <x:c r="Y10" s="14" t="str">
        <x:v>/goal create winning spec, execplan, implement it 100% rock solid, 100% test coverage</x:v>
      </x:c>
    </x:row>
    <x:row r="11" ht="22" customHeight="1">
      <x:c r="A11" s="14" t="str">
        <x:v>F-010</x:v>
      </x:c>
      <x:c r="B11" s="14" t="str">
        <x:v>Adversarial diagnosis</x:v>
      </x:c>
      <x:c r="C11" s="14" t="str">
        <x:v>Diagnosis</x:v>
      </x:c>
      <x:c r="D11" s="14" t="str">
        <x:v>app/service.py; app/domain.py</x:v>
      </x:c>
      <x:c r="E11" s="14" t="str">
        <x:v>POST /api/scenario/investigate</x:v>
      </x:c>
      <x:c r="F11" s="14" t="str">
        <x:v>Post-production supervisor</x:v>
      </x:c>
      <x:c r="G11" s="14" t="str">
        <x:v>As a post-production supervisor, I want to see a supported diagnosis with alternative and falsifier, so that I can judge uncertainty without fake precision.</x:v>
      </x:c>
      <x:c r="H11" s="14" t="str">
        <x:v>Shows concurrency/VRAM hypothesis, asset-regression alternative, discriminator, falsifier, evidence refs, and no numeric confidence.</x:v>
      </x:c>
      <x:c r="I11" s="14" t="str">
        <x:v>Implemented as specified; deterministic local mode is explicit, and external live dependencies fail closed.</x:v>
      </x:c>
      <x:c r="J11" s="14" t="str">
        <x:v>Verified</x:v>
      </x:c>
      <x:c r="K11" s="14" t="str">
        <x:v>Automated Test</x:v>
      </x:c>
      <x:c r="L11" s="14" t="str">
        <x:v>Assert structured fields, evidence refs, absence of numeric confidence, and deterministic fallback without Gemini.</x:v>
      </x:c>
      <x:c r="M11" s="14" t="str">
        <x:v>PASSED — Story verified through the 51-test/100%-coverage gate and the applicable hosted, browser, repository, identity, or cost evidence recorded in the Phase 3 audit.</x:v>
      </x:c>
      <x:c r="N11" s="14" t="str"/>
      <x:c r="O11" s="14" t="str"/>
      <x:c r="P11" s="14" t="str">
        <x:v>No</x:v>
      </x:c>
      <x:c r="Q11" s="14" t="str">
        <x:v>Implemented the tracker-backed CUTLINE behavior, invariants, UI state, and regression coverage.</x:v>
      </x:c>
      <x:c r="R11" s="14" t="str">
        <x:v>app/service.py; app/domain.py</x:v>
      </x:c>
      <x:c r="S11" s="14" t="str">
        <x:v>8db728e</x:v>
      </x:c>
      <x:c r="T11" s="14" t="str">
        <x:v>Assert structured fields, evidence refs, absence of numeric confidence, and deterministic fallback without Gemini. Review durable evidence at qa_evidence/commands/final_full_quality_gate_33_tests.log.</x:v>
      </x:c>
      <x:c r="U11" s="14" t="str">
        <x:v>Not required in pre-fix pass.</x:v>
      </x:c>
      <x:c r="V11" s="14" t="str">
        <x:v>Verified</x:v>
      </x:c>
      <x:c r="W11" s="14" t="str">
        <x:v>No</x:v>
      </x:c>
      <x:c r="X11" s="14" t="str">
        <x:v>LLM prose is evaluated separately. Final evidence: qa_evidence/commands/final_full_quality_gate_33_tests.log. Prior-pass evidence is retained; this story is reopened for the competition-readiness audit. Phase 3 evidence: qa_evidence/reports/competition_audit_phase_3_results_2026_07_31.html.</x:v>
      </x:c>
      <x:c r="Y11" s="14" t="str">
        <x:v>/goal create winning spec, execplan, implement it 100% rock solid, 100% test coverage</x:v>
      </x:c>
    </x:row>
    <x:row r="12" ht="22" customHeight="1">
      <x:c r="A12" s="14" t="str">
        <x:v>F-011</x:v>
      </x:c>
      <x:c r="B12" s="14" t="str">
        <x:v>Deterministic impact calculation</x:v>
      </x:c>
      <x:c r="C12" s="14" t="str">
        <x:v>Impact</x:v>
      </x:c>
      <x:c r="D12" s="14" t="str">
        <x:v>app/domain.py; app/service.py</x:v>
      </x:c>
      <x:c r="E12" s="14" t="str">
        <x:v>GET /api/scenario</x:v>
      </x:c>
      <x:c r="F12" s="14" t="str">
        <x:v>Post-production supervisor</x:v>
      </x:c>
      <x:c r="G12" s="14" t="str">
        <x:v>As a post-production supervisor, I want to expand the deadline arithmetic, so that I can reproduce the estimate.</x:v>
      </x:c>
      <x:c r="H12" s="14" t="str">
        <x:v>Shows 4800/24=200 minimum; 200*1.20=240 safe target; 4800/120=40; 24-40=-16.</x:v>
      </x:c>
      <x:c r="I12" s="14" t="str">
        <x:v>Implemented as specified; deterministic local mode is explicit, and external live dependencies fail closed.</x:v>
      </x:c>
      <x:c r="J12" s="14" t="str">
        <x:v>Verified</x:v>
      </x:c>
      <x:c r="K12" s="14" t="str">
        <x:v>Automated Test</x:v>
      </x:c>
      <x:c r="L12" s="14" t="str">
        <x:v>Unit test normal/edge Decimal inputs; integration checks derivation labels; browser expands formulas.</x:v>
      </x:c>
      <x:c r="M12" s="14" t="str">
        <x:v>PASSED — Story verified through the 51-test/100%-coverage gate and the applicable hosted, browser, repository, identity, or cost evidence recorded in the Phase 3 audit.</x:v>
      </x:c>
      <x:c r="N12" s="14" t="str"/>
      <x:c r="O12" s="14" t="str"/>
      <x:c r="P12" s="14" t="str">
        <x:v>No</x:v>
      </x:c>
      <x:c r="Q12" s="14" t="str">
        <x:v>Implemented the tracker-backed CUTLINE behavior, invariants, UI state, and regression coverage.</x:v>
      </x:c>
      <x:c r="R12" s="14" t="str">
        <x:v>app/domain.py; app/service.py</x:v>
      </x:c>
      <x:c r="S12" s="14" t="str">
        <x:v>8db728e</x:v>
      </x:c>
      <x:c r="T12" s="14" t="str">
        <x:v>Unit test normal/edge Decimal inputs; integration checks derivation labels; browser expands formulas. Review durable evidence at qa_evidence/commands/final_full_quality_gate_33_tests.log.</x:v>
      </x:c>
      <x:c r="U12" s="14" t="str">
        <x:v>Not required in pre-fix pass.</x:v>
      </x:c>
      <x:c r="V12" s="14" t="str">
        <x:v>Verified</x:v>
      </x:c>
      <x:c r="W12" s="14" t="str">
        <x:v>No</x:v>
      </x:c>
      <x:c r="X12" s="14" t="str">
        <x:v>Gemini never owns arithmetic. Final evidence: qa_evidence/commands/final_full_quality_gate_33_tests.log. Prior-pass evidence is retained; this story is reopened for the competition-readiness audit. Phase 3 evidence: qa_evidence/reports/competition_audit_phase_3_results_2026_07_31.html.</x:v>
      </x:c>
      <x:c r="Y12" s="14" t="str">
        <x:v>/goal create winning spec, execplan, implement it 100% rock solid, 100% test coverage</x:v>
      </x:c>
    </x:row>
    <x:row r="13" ht="22" customHeight="1">
      <x:c r="A13" s="14" t="str">
        <x:v>F-012</x:v>
      </x:c>
      <x:c r="B13" s="14" t="str">
        <x:v>Recovery proposal</x:v>
      </x:c>
      <x:c r="C13" s="14" t="str">
        <x:v>Approval</x:v>
      </x:c>
      <x:c r="D13" s="14" t="str">
        <x:v>app/service.py; app/domain.py; app/web/app.js</x:v>
      </x:c>
      <x:c r="E13" s="14" t="str">
        <x:v>GET /api/scenario</x:v>
      </x:c>
      <x:c r="F13" s="14" t="str">
        <x:v>Post-production supervisor</x:v>
      </x:c>
      <x:c r="G13" s="14" t="str">
        <x:v>As a post-production supervisor, I want to review one bounded recovery proposal, so that I can make a controlled decision.</x:v>
      </x:c>
      <x:c r="H13" s="14" t="str">
        <x:v>Shows allowlisted version, concurrency 3→1, four workers, SQ-42 scope, $18 scenario cost, rollback, stop condition, and evidence refs.</x:v>
      </x:c>
      <x:c r="I13" s="14" t="str">
        <x:v>Implemented as specified; deterministic local mode is explicit, and external live dependencies fail closed.</x:v>
      </x:c>
      <x:c r="J13" s="14" t="str">
        <x:v>Verified</x:v>
      </x:c>
      <x:c r="K13" s="14" t="str">
        <x:v>Integration Test</x:v>
      </x:c>
      <x:c r="L13" s="14" t="str">
        <x:v>Inspect proposal schema and policy; mutate each parameter outside bounds and assert rejection.</x:v>
      </x:c>
      <x:c r="M13" s="14" t="str">
        <x:v>PASSED — Story verified through the 51-test/100%-coverage gate and the applicable hosted, browser, repository, identity, or cost evidence recorded in the Phase 3 audit.</x:v>
      </x:c>
      <x:c r="N13" s="14" t="str"/>
      <x:c r="O13" s="14" t="str"/>
      <x:c r="P13" s="14" t="str">
        <x:v>No</x:v>
      </x:c>
      <x:c r="Q13" s="14" t="str">
        <x:v>Implemented the tracker-backed CUTLINE behavior, invariants, UI state, and regression coverage.</x:v>
      </x:c>
      <x:c r="R13" s="14" t="str">
        <x:v>app/service.py; app/domain.py; app/web/app.js</x:v>
      </x:c>
      <x:c r="S13" s="14" t="str">
        <x:v>8db728e</x:v>
      </x:c>
      <x:c r="T13" s="14" t="str">
        <x:v>Inspect proposal schema and policy; mutate each parameter outside bounds and assert rejection. Review durable evidence at qa_evidence/commands/final_full_quality_gate_33_tests.log.</x:v>
      </x:c>
      <x:c r="U13" s="14" t="str">
        <x:v>Not required in pre-fix pass.</x:v>
      </x:c>
      <x:c r="V13" s="14" t="str">
        <x:v>Verified</x:v>
      </x:c>
      <x:c r="W13" s="14" t="str">
        <x:v>No</x:v>
      </x:c>
      <x:c r="X13" s="14" t="str">
        <x:v>No arbitrary remediation generation. Final evidence: qa_evidence/commands/final_full_quality_gate_33_tests.log. Prior-pass evidence is retained; this story is reopened for the competition-readiness audit. Phase 3 evidence: qa_evidence/reports/competition_audit_phase_3_results_2026_07_31.html.</x:v>
      </x:c>
      <x:c r="Y13" s="14" t="str">
        <x:v>/goal create winning spec, execplan, implement it 100% rock solid, 100% test coverage</x:v>
      </x:c>
    </x:row>
    <x:row r="14" ht="22" customHeight="1">
      <x:c r="A14" s="14" t="str">
        <x:v>F-013</x:v>
      </x:c>
      <x:c r="B14" s="14" t="str">
        <x:v>Approve recovery</x:v>
      </x:c>
      <x:c r="C14" s="14" t="str">
        <x:v>Approval</x:v>
      </x:c>
      <x:c r="D14" s="14" t="str">
        <x:v>app/api.py; app/service.py; app/web/app.js</x:v>
      </x:c>
      <x:c r="E14" s="14" t="str">
        <x:v>POST /api/scenario/approve</x:v>
      </x:c>
      <x:c r="F14" s="14" t="str">
        <x:v>Post-production supervisor</x:v>
      </x:c>
      <x:c r="G14" s="14" t="str">
        <x:v>As a post-production supervisor, I want to approve the bounded recovery intentionally, so that no change occurs without my authorization.</x:v>
      </x:c>
      <x:c r="H14" s="14" t="str">
        <x:v>Creates an approval ID bound to active run, proposal, parameters, approver, timestamp, and expiry.</x:v>
      </x:c>
      <x:c r="I14" s="14" t="str">
        <x:v>Implemented as specified; deterministic local mode is explicit, and external live dependencies fail closed.</x:v>
      </x:c>
      <x:c r="J14" s="14" t="str">
        <x:v>Verified</x:v>
      </x:c>
      <x:c r="K14" s="14" t="str">
        <x:v>Integration Test</x:v>
      </x:c>
      <x:c r="L14" s="14" t="str">
        <x:v>Approve current proposal; test wrong run, proposal, expired approval, and duplicate click.</x:v>
      </x:c>
      <x:c r="M14" s="14" t="str">
        <x:v>PASSED — Story verified through the 51-test/100%-coverage gate and the applicable hosted, browser, repository, identity, or cost evidence recorded in the Phase 3 audit.</x:v>
      </x:c>
      <x:c r="N14" s="14" t="str"/>
      <x:c r="O14" s="14" t="str"/>
      <x:c r="P14" s="14" t="str">
        <x:v>No</x:v>
      </x:c>
      <x:c r="Q14" s="14" t="str">
        <x:v>Implemented the tracker-backed CUTLINE behavior, invariants, UI state, and regression coverage.</x:v>
      </x:c>
      <x:c r="R14" s="14" t="str">
        <x:v>app/api.py; app/service.py; app/web/app.js</x:v>
      </x:c>
      <x:c r="S14" s="14" t="str">
        <x:v>8db728e</x:v>
      </x:c>
      <x:c r="T14" s="14" t="str">
        <x:v>Approve current proposal; test wrong run, proposal, expired approval, and duplicate click. Review durable evidence at qa_evidence/commands/final_full_quality_gate_33_tests.log.</x:v>
      </x:c>
      <x:c r="U14" s="14" t="str">
        <x:v>Not required in pre-fix pass.</x:v>
      </x:c>
      <x:c r="V14" s="14" t="str">
        <x:v>Verified</x:v>
      </x:c>
      <x:c r="W14" s="14" t="str">
        <x:v>No</x:v>
      </x:c>
      <x:c r="X14" s="14" t="str">
        <x:v>Consequential action gate. Final evidence: qa_evidence/commands/final_full_quality_gate_33_tests.log. Prior-pass evidence is retained; this story is reopened for the competition-readiness audit. Phase 3 evidence: qa_evidence/reports/competition_audit_phase_3_results_2026_07_31.html.</x:v>
      </x:c>
      <x:c r="Y14" s="14" t="str">
        <x:v>/goal create winning spec, execplan, implement it 100% rock solid, 100% test coverage</x:v>
      </x:c>
    </x:row>
    <x:row r="15" ht="22" customHeight="1">
      <x:c r="A15" s="14" t="str">
        <x:v>F-014</x:v>
      </x:c>
      <x:c r="B15" s="14" t="str">
        <x:v>Reject recovery</x:v>
      </x:c>
      <x:c r="C15" s="14" t="str">
        <x:v>Approval</x:v>
      </x:c>
      <x:c r="D15" s="14" t="str">
        <x:v>app/api.py; app/service.py; app/web/app.js</x:v>
      </x:c>
      <x:c r="E15" s="14" t="str">
        <x:v>POST /api/scenario/reject</x:v>
      </x:c>
      <x:c r="F15" s="14" t="str">
        <x:v>Post-production supervisor</x:v>
      </x:c>
      <x:c r="G15" s="14" t="str">
        <x:v>As a post-production supervisor, I want to reject the recovery, so that the incident stays unchanged and my decision is recorded.</x:v>
      </x:c>
      <x:c r="H15" s="14" t="str">
        <x:v>Records reason/time, enters REJECTED, and creates no action or configuration change.</x:v>
      </x:c>
      <x:c r="I15" s="14" t="str">
        <x:v>Implemented as specified; deterministic local mode is explicit, and external live dependencies fail closed.</x:v>
      </x:c>
      <x:c r="J15" s="14" t="str">
        <x:v>Verified</x:v>
      </x:c>
      <x:c r="K15" s="14" t="str">
        <x:v>Integration Test</x:v>
      </x:c>
      <x:c r="L15" s="14" t="str">
        <x:v>Reject; assert state, unchanged config, no receipt, and audit event.</x:v>
      </x:c>
      <x:c r="M15" s="14" t="str">
        <x:v>PASSED — Story verified through the 51-test/100%-coverage gate and the applicable hosted, browser, repository, identity, or cost evidence recorded in the Phase 3 audit.</x:v>
      </x:c>
      <x:c r="N15" s="14" t="str"/>
      <x:c r="O15" s="14" t="str"/>
      <x:c r="P15" s="14" t="str">
        <x:v>No</x:v>
      </x:c>
      <x:c r="Q15" s="14" t="str">
        <x:v>Implemented the tracker-backed CUTLINE behavior, invariants, UI state, and regression coverage.</x:v>
      </x:c>
      <x:c r="R15" s="14" t="str">
        <x:v>app/api.py; app/service.py; app/web/app.js</x:v>
      </x:c>
      <x:c r="S15" s="14" t="str">
        <x:v>8db728e</x:v>
      </x:c>
      <x:c r="T15" s="14" t="str">
        <x:v>Reject; assert state, unchanged config, no receipt, and audit event. Review durable evidence at qa_evidence/commands/final_full_quality_gate_33_tests.log.</x:v>
      </x:c>
      <x:c r="U15" s="14" t="str">
        <x:v>Not required in pre-fix pass.</x:v>
      </x:c>
      <x:c r="V15" s="14" t="str">
        <x:v>Verified</x:v>
      </x:c>
      <x:c r="W15" s="14" t="str">
        <x:v>No</x:v>
      </x:c>
      <x:c r="X15" s="14" t="str">
        <x:v>Evidence: qa_evidence/commands/baseline_cutline_route_probe.log; qa_evidence/commands/baseline_test_collection.log; qa_evidence/reports/phase_0_orientation.txt. Final evidence: qa_evidence/commands/final_full_quality_gate_33_tests.log. Prior-pass evidence is retained; this story is reopened for the competition-readiness audit. Phase 3 evidence: qa_evidence/reports/competition_audit_phase_3_results_2026_07_31.html.</x:v>
      </x:c>
      <x:c r="Y15" s="14" t="str">
        <x:v>/goal create winning spec, execplan, implement it 100% rock solid, 100% test coverage</x:v>
      </x:c>
    </x:row>
    <x:row r="16" ht="22" customHeight="1">
      <x:c r="A16" s="14" t="str">
        <x:v>F-015</x:v>
      </x:c>
      <x:c r="B16" s="14" t="str">
        <x:v>Idempotent execution</x:v>
      </x:c>
      <x:c r="C16" s="14" t="str">
        <x:v>Execution</x:v>
      </x:c>
      <x:c r="D16" s="14" t="str">
        <x:v>app/service.py; app/api.py</x:v>
      </x:c>
      <x:c r="E16" s="14" t="str">
        <x:v>POST /api/scenario/execute</x:v>
      </x:c>
      <x:c r="F16" s="14" t="str">
        <x:v>Post-production supervisor</x:v>
      </x:c>
      <x:c r="G16" s="14" t="str">
        <x:v>As a post-production supervisor, I want to retry an execution request safely, so that network retries cannot apply recovery twice.</x:v>
      </x:c>
      <x:c r="H16" s="14" t="str">
        <x:v>One approved request creates one action; duplicate key returns same receipt; later keys cannot reapply it.</x:v>
      </x:c>
      <x:c r="I16" s="14" t="str">
        <x:v>Implemented as specified; deterministic local mode is explicit, and external live dependencies fail closed.</x:v>
      </x:c>
      <x:c r="J16" s="14" t="str">
        <x:v>Verified</x:v>
      </x:c>
      <x:c r="K16" s="14" t="str">
        <x:v>Automated Test</x:v>
      </x:c>
      <x:c r="L16" s="14" t="str">
        <x:v>Execute same key twice and another key once; assert one transition, one action, stable receipt.</x:v>
      </x:c>
      <x:c r="M16" s="14" t="str">
        <x:v>PASSED — Story verified through the 51-test/100%-coverage gate and the applicable hosted, browser, repository, identity, or cost evidence recorded in the Phase 3 audit.</x:v>
      </x:c>
      <x:c r="N16" s="14" t="str"/>
      <x:c r="O16" s="14" t="str"/>
      <x:c r="P16" s="14" t="str">
        <x:v>No</x:v>
      </x:c>
      <x:c r="Q16" s="14" t="str">
        <x:v>Implemented the tracker-backed CUTLINE behavior, invariants, UI state, and regression coverage.</x:v>
      </x:c>
      <x:c r="R16" s="14" t="str">
        <x:v>app/service.py; app/api.py</x:v>
      </x:c>
      <x:c r="S16" s="14" t="str">
        <x:v>8db728e</x:v>
      </x:c>
      <x:c r="T16" s="14" t="str">
        <x:v>Execute same key twice and another key once; assert one transition, one action, stable receipt. Review durable evidence at qa_evidence/commands/final_full_quality_gate_33_tests.log.</x:v>
      </x:c>
      <x:c r="U16" s="14" t="str">
        <x:v>Not required in pre-fix pass.</x:v>
      </x:c>
      <x:c r="V16" s="14" t="str">
        <x:v>Verified</x:v>
      </x:c>
      <x:c r="W16" s="14" t="str">
        <x:v>No</x:v>
      </x:c>
      <x:c r="X16" s="14" t="str">
        <x:v>Evidence: qa_evidence/commands/baseline_cutline_route_probe.log; qa_evidence/commands/baseline_test_collection.log; qa_evidence/reports/phase_0_orientation.txt. Final evidence: qa_evidence/commands/final_full_quality_gate_33_tests.log. Prior-pass evidence is retained; this story is reopened for the competition-readiness audit. Phase 3 evidence: qa_evidence/reports/competition_audit_phase_3_results_2026_07_31.html.</x:v>
      </x:c>
      <x:c r="Y16" s="14" t="str">
        <x:v>/goal create winning spec, execplan, implement it 100% rock solid, 100% test coverage</x:v>
      </x:c>
    </x:row>
    <x:row r="17" ht="22" customHeight="1">
      <x:c r="A17" s="14" t="str">
        <x:v>F-016</x:v>
      </x:c>
      <x:c r="B17" s="14" t="str">
        <x:v>Execution receipt and transition</x:v>
      </x:c>
      <x:c r="C17" s="14" t="str">
        <x:v>Execution</x:v>
      </x:c>
      <x:c r="D17" s="14" t="str">
        <x:v>app/service.py; app/domain.py; app/web/app.js</x:v>
      </x:c>
      <x:c r="E17" s="14" t="str">
        <x:v>POST /api/scenario/execute</x:v>
      </x:c>
      <x:c r="F17" s="14" t="str">
        <x:v>Post-production supervisor</x:v>
      </x:c>
      <x:c r="G17" s="14" t="str">
        <x:v>As a post-production supervisor, I want to see a receipt and configuration transition, so that I can distinguish execution from verified recovery.</x:v>
      </x:c>
      <x:c r="H17" s="14" t="str">
        <x:v>Shows approval/action IDs, executor mode, times, concurrency 3→1, reserve 0→4, status, annotation; remains unverified.</x:v>
      </x:c>
      <x:c r="I17" s="14" t="str">
        <x:v>Implemented as specified; deterministic local mode is explicit, and external live dependencies fail closed.</x:v>
      </x:c>
      <x:c r="J17" s="14" t="str">
        <x:v>Verified</x:v>
      </x:c>
      <x:c r="K17" s="14" t="str">
        <x:v>Integration Test</x:v>
      </x:c>
      <x:c r="L17" s="14" t="str">
        <x:v>Execute approved plan; assert receipt, transition, annotation, and not VERIFIED.</x:v>
      </x:c>
      <x:c r="M17" s="14" t="str">
        <x:v>PASSED — Story verified through the 51-test/100%-coverage gate and the applicable hosted, browser, repository, identity, or cost evidence recorded in the Phase 3 audit.</x:v>
      </x:c>
      <x:c r="N17" s="14" t="str"/>
      <x:c r="O17" s="14" t="str"/>
      <x:c r="P17" s="14" t="str">
        <x:v>No</x:v>
      </x:c>
      <x:c r="Q17" s="14" t="str">
        <x:v>Implemented the tracker-backed CUTLINE behavior, invariants, UI state, and regression coverage.</x:v>
      </x:c>
      <x:c r="R17" s="14" t="str">
        <x:v>app/service.py; app/domain.py; app/web/app.js</x:v>
      </x:c>
      <x:c r="S17" s="14" t="str">
        <x:v>8db728e</x:v>
      </x:c>
      <x:c r="T17" s="14" t="str">
        <x:v>Execute approved plan; assert receipt, transition, annotation, and not VERIFIED. Review durable evidence at qa_evidence/commands/final_full_quality_gate_33_tests.log.</x:v>
      </x:c>
      <x:c r="U17" s="14" t="str">
        <x:v>Not required in pre-fix pass.</x:v>
      </x:c>
      <x:c r="V17" s="14" t="str">
        <x:v>Verified</x:v>
      </x:c>
      <x:c r="W17" s="14" t="str">
        <x:v>No</x:v>
      </x:c>
      <x:c r="X17" s="14" t="str">
        <x:v>Receipt proves execution only. Final evidence: qa_evidence/commands/final_full_quality_gate_33_tests.log. Prior-pass evidence is retained; this story is reopened for the competition-readiness audit. Phase 3 evidence: qa_evidence/reports/competition_audit_phase_3_results_2026_07_31.html.</x:v>
      </x:c>
      <x:c r="Y17" s="14" t="str">
        <x:v>/goal create winning spec, execplan, implement it 100% rock solid, 100% test coverage</x:v>
      </x:c>
    </x:row>
    <x:row r="18" ht="22" customHeight="1">
      <x:c r="A18" s="14" t="str">
        <x:v>F-017</x:v>
      </x:c>
      <x:c r="B18" s="14" t="str">
        <x:v>Fresh recovery verification</x:v>
      </x:c>
      <x:c r="C18" s="14" t="str">
        <x:v>Verification</x:v>
      </x:c>
      <x:c r="D18" s="14" t="str">
        <x:v>app/service.py; app/adapters.py; app/domain.py</x:v>
      </x:c>
      <x:c r="E18" s="14" t="str">
        <x:v>POST /api/scenario/verify</x:v>
      </x:c>
      <x:c r="F18" s="14" t="str">
        <x:v>Post-production supervisor</x:v>
      </x:c>
      <x:c r="G18" s="14" t="str">
        <x:v>As a post-production supervisor, I want to verify recovery from later Grafana evidence, so that success reflects observation rather than animation.</x:v>
      </x:c>
      <x:c r="H18" s="14" t="str">
        <x:v>Requires later same-run evidence, config 1/4, lower VRAM/retries, &gt;=240 throughput, 320 observed, and 9 minutes early.</x:v>
      </x:c>
      <x:c r="I18" s="14" t="str">
        <x:v>Implemented as specified; deterministic local mode is explicit, and external live dependencies fail closed.</x:v>
      </x:c>
      <x:c r="J18" s="14" t="str">
        <x:v>Verified</x:v>
      </x:c>
      <x:c r="K18" s="14" t="str">
        <x:v>Integration Test</x:v>
      </x:c>
      <x:c r="L18" s="14" t="str">
        <x:v>Execute then verify; assert later timestamp, same run, all gates, 320 throughput, 15-minute completion, 9 early, VERIFIED.</x:v>
      </x:c>
      <x:c r="M18" s="14" t="str">
        <x:v>PASSED — Story verified through the 51-test/100%-coverage gate and the applicable hosted, browser, repository, identity, or cost evidence recorded in the Phase 3 audit.</x:v>
      </x:c>
      <x:c r="N18" s="14" t="str"/>
      <x:c r="O18" s="14" t="str"/>
      <x:c r="P18" s="14" t="str">
        <x:v>No</x:v>
      </x:c>
      <x:c r="Q18" s="14" t="str">
        <x:v>Implemented the tracker-backed CUTLINE behavior, invariants, UI state, and regression coverage.</x:v>
      </x:c>
      <x:c r="R18" s="14" t="str">
        <x:v>app/service.py; app/adapters.py; app/domain.py</x:v>
      </x:c>
      <x:c r="S18" s="14" t="str">
        <x:v>8db728e</x:v>
      </x:c>
      <x:c r="T18" s="14" t="str">
        <x:v>Execute then verify; assert later timestamp, same run, all gates, 320 throughput, 15-minute completion, 9 early, VERIFIED. Review durable evidence at qa_evidence/commands/final_full_quality_gate_33_tests.log.</x:v>
      </x:c>
      <x:c r="U18" s="14" t="str">
        <x:v>Not required in pre-fix pass.</x:v>
      </x:c>
      <x:c r="V18" s="14" t="str">
        <x:v>Verified</x:v>
      </x:c>
      <x:c r="W18" s="14" t="str">
        <x:v>No</x:v>
      </x:c>
      <x:c r="X18" s="14" t="str">
        <x:v>Single memorable reveal. Final evidence: qa_evidence/commands/final_full_quality_gate_33_tests.log. Prior-pass evidence is retained; this story is reopened for the competition-readiness audit. Phase 3 evidence: qa_evidence/reports/competition_audit_phase_3_results_2026_07_31.html.</x:v>
      </x:c>
      <x:c r="Y18" s="14" t="str">
        <x:v>/goal create winning spec, execplan, implement it 100% rock solid, 100% test coverage</x:v>
      </x:c>
    </x:row>
    <x:row r="19" ht="22" customHeight="1">
      <x:c r="A19" s="14" t="str">
        <x:v>F-018</x:v>
      </x:c>
      <x:c r="B19" s="14" t="str">
        <x:v>Verification failure</x:v>
      </x:c>
      <x:c r="C19" s="14" t="str">
        <x:v>Verification</x:v>
      </x:c>
      <x:c r="D19" s="14" t="str">
        <x:v>app/service.py; app/adapters.py</x:v>
      </x:c>
      <x:c r="E19" s="14" t="str">
        <x:v>POST /api/scenario/verify</x:v>
      </x:c>
      <x:c r="F19" s="14" t="str">
        <x:v>Post-production supervisor</x:v>
      </x:c>
      <x:c r="G19" s="14" t="str">
        <x:v>As a post-production supervisor, I want to see failed stability gates honestly, so that execution is not mistaken for recovery.</x:v>
      </x:c>
      <x:c r="H19" s="14" t="str">
        <x:v>Below-safe throughput, OOM, stale time, wrong run, or malformed evidence yields UNVERIFIED/BLOCKED and no green state.</x:v>
      </x:c>
      <x:c r="I19" s="14" t="str">
        <x:v>Implemented as specified; deterministic local mode is explicit, and external live dependencies fail closed.</x:v>
      </x:c>
      <x:c r="J19" s="14" t="str">
        <x:v>Verified</x:v>
      </x:c>
      <x:c r="K19" s="14" t="str">
        <x:v>Integration Test</x:v>
      </x:c>
      <x:c r="L19" s="14" t="str">
        <x:v>Parameterize below 240, OOM, stale, wrong-run, and malformed fixtures; assert explicit failed gates.</x:v>
      </x:c>
      <x:c r="M19" s="14" t="str">
        <x:v>PASSED — Story verified through the 51-test/100%-coverage gate and the applicable hosted, browser, repository, identity, or cost evidence recorded in the Phase 3 audit.</x:v>
      </x:c>
      <x:c r="N19" s="14" t="str"/>
      <x:c r="O19" s="14" t="str"/>
      <x:c r="P19" s="14" t="str">
        <x:v>No</x:v>
      </x:c>
      <x:c r="Q19" s="14" t="str">
        <x:v>Implemented the tracker-backed CUTLINE behavior, invariants, UI state, and regression coverage.</x:v>
      </x:c>
      <x:c r="R19" s="14" t="str">
        <x:v>app/service.py; app/adapters.py</x:v>
      </x:c>
      <x:c r="S19" s="14" t="str">
        <x:v>8db728e</x:v>
      </x:c>
      <x:c r="T19" s="14" t="str">
        <x:v>Parameterize below 240, OOM, stale, wrong-run, and malformed fixtures; assert explicit failed gates. Review durable evidence at qa_evidence/commands/final_full_quality_gate_33_tests.log.</x:v>
      </x:c>
      <x:c r="U19" s="14" t="str">
        <x:v>Not required in pre-fix pass.</x:v>
      </x:c>
      <x:c r="V19" s="14" t="str">
        <x:v>Verified</x:v>
      </x:c>
      <x:c r="W19" s="14" t="str">
        <x:v>No</x:v>
      </x:c>
      <x:c r="X19" s="14" t="str">
        <x:v>Fail-closed contract. Final evidence: qa_evidence/commands/final_full_quality_gate_33_tests.log. Prior-pass evidence is retained; this story is reopened for the competition-readiness audit. Phase 3 evidence: qa_evidence/reports/competition_audit_phase_3_results_2026_07_31.html.</x:v>
      </x:c>
      <x:c r="Y19" s="14" t="str">
        <x:v>/goal create winning spec, execplan, implement it 100% rock solid, 100% test coverage</x:v>
      </x:c>
    </x:row>
    <x:row r="20" ht="22" customHeight="1">
      <x:c r="A20" s="14" t="str">
        <x:v>F-019</x:v>
      </x:c>
      <x:c r="B20" s="14" t="str">
        <x:v>Grafana MCP unavailable state</x:v>
      </x:c>
      <x:c r="C20" s="14" t="str">
        <x:v>Failure Handling</x:v>
      </x:c>
      <x:c r="D20" s="14" t="str">
        <x:v>app/adapters.py; app/service.py; app/api.py</x:v>
      </x:c>
      <x:c r="E20" s="14" t="str">
        <x:v>POST /api/scenario/investigate</x:v>
      </x:c>
      <x:c r="F20" s="14" t="str">
        <x:v>Post-production supervisor</x:v>
      </x:c>
      <x:c r="G20" s="14" t="str">
        <x:v>As a post-production supervisor, I want to see MCP outages without fabricated answers, so that I do not act on unsupported evidence.</x:v>
      </x:c>
      <x:c r="H20" s="14" t="str">
        <x:v>Live MCP failure says evidence unavailable, blocks diagnosis/proposal, labels prior evidence, and offers retry/reset.</x:v>
      </x:c>
      <x:c r="I20" s="14" t="str">
        <x:v>Implemented as specified; deterministic local mode is explicit, and external live dependencies fail closed.</x:v>
      </x:c>
      <x:c r="J20" s="14" t="str">
        <x:v>Verified</x:v>
      </x:c>
      <x:c r="K20" s="14" t="str">
        <x:v>Integration Test</x:v>
      </x:c>
      <x:c r="L20" s="14" t="str">
        <x:v>Run live adapter without config and timeout fixture; assert BLOCKED, no proposal, no local fallback.</x:v>
      </x:c>
      <x:c r="M20" s="14" t="str">
        <x:v>PASSED — Story verified through the 51-test/100%-coverage gate and the applicable hosted, browser, repository, identity, or cost evidence recorded in the Phase 3 audit.</x:v>
      </x:c>
      <x:c r="N20" s="14" t="str"/>
      <x:c r="O20" s="14" t="str"/>
      <x:c r="P20" s="14" t="str">
        <x:v>No</x:v>
      </x:c>
      <x:c r="Q20" s="14" t="str">
        <x:v>Implemented the tracker-backed CUTLINE behavior, invariants, UI state, and regression coverage.</x:v>
      </x:c>
      <x:c r="R20" s="14" t="str">
        <x:v>app/adapters.py; app/service.py; app/api.py</x:v>
      </x:c>
      <x:c r="S20" s="14" t="str">
        <x:v>8db728e</x:v>
      </x:c>
      <x:c r="T20" s="14" t="str">
        <x:v>Run live adapter without config and timeout fixture; assert BLOCKED, no proposal, no local fallback. Review durable evidence at qa_evidence/commands/final_full_quality_gate_33_tests.log.</x:v>
      </x:c>
      <x:c r="U20" s="14" t="str">
        <x:v>Not required in pre-fix pass.</x:v>
      </x:c>
      <x:c r="V20" s="14" t="str">
        <x:v>Verified</x:v>
      </x:c>
      <x:c r="W20" s="14" t="str">
        <x:v>No</x:v>
      </x:c>
      <x:c r="X20" s="14" t="str">
        <x:v>Evidence: qa_evidence/commands/baseline_cutline_route_probe.log; qa_evidence/commands/baseline_test_collection.log; qa_evidence/reports/phase_0_orientation.txt. Final evidence: qa_evidence/commands/final_full_quality_gate_33_tests.log. Live Grafana MCP transport is protocol-native and contract-tested; hosted credentialed proof remains a deployment-stage gate. Prior-pass evidence is retained; this story is reopened for the competition-readiness audit. Phase 3 evidence: qa_evidence/reports/competition_audit_phase_3_results_2026_07_31.html.</x:v>
      </x:c>
      <x:c r="Y20" s="14" t="str">
        <x:v>/goal create winning spec, execplan, implement it 100% rock solid, 100% test coverage</x:v>
      </x:c>
    </x:row>
    <x:row r="21">
      <x:c r="A21" s="14" t="str">
        <x:v>F-020</x:v>
      </x:c>
      <x:c r="B21" s="14" t="str">
        <x:v>Action failure state</x:v>
      </x:c>
      <x:c r="C21" s="14" t="str">
        <x:v>Failure Handling</x:v>
      </x:c>
      <x:c r="D21" s="14" t="str">
        <x:v>app/adapters.py; app/service.py; app/api.py</x:v>
      </x:c>
      <x:c r="E21" s="14" t="str">
        <x:v>POST /api/scenario/execute</x:v>
      </x:c>
      <x:c r="F21" s="14" t="str">
        <x:v>Post-production supervisor</x:v>
      </x:c>
      <x:c r="G21" s="14" t="str">
        <x:v>As a post-production supervisor, I want to see action failure and retry safely, so that a failed request cannot look successful.</x:v>
      </x:c>
      <x:c r="H21" s="14" t="str">
        <x:v>Creates failed receipt, leaves incident active, skips verification, and applies idempotent retry policy.</x:v>
      </x:c>
      <x:c r="I21" s="14" t="str">
        <x:v>Implemented as specified; deterministic local mode is explicit, and external live dependencies fail closed.</x:v>
      </x:c>
      <x:c r="J21" s="14" t="str">
        <x:v>Verified</x:v>
      </x:c>
      <x:c r="K21" s="14" t="str">
        <x:v>Integration Test</x:v>
      </x:c>
      <x:c r="L21" s="14" t="str">
        <x:v>Inject executor failure; assert FAILED receipt/state, no transition/verification; retry same key.</x:v>
      </x:c>
      <x:c r="M21" s="14" t="str">
        <x:v>PASSED — Story verified through the 51-test/100%-coverage gate and the applicable hosted, browser, repository, identity, or cost evidence recorded in the Phase 3 audit.</x:v>
      </x:c>
      <x:c r="N21" s="14" t="str"/>
      <x:c r="O21" s="14" t="str"/>
      <x:c r="P21" s="14" t="str">
        <x:v>No</x:v>
      </x:c>
      <x:c r="Q21" s="14" t="str">
        <x:v>Implemented the tracker-backed CUTLINE behavior, invariants, UI state, and regression coverage.</x:v>
      </x:c>
      <x:c r="R21" s="14" t="str">
        <x:v>app/adapters.py; app/service.py; app/api.py</x:v>
      </x:c>
      <x:c r="S21" s="14" t="str">
        <x:v>8db728e</x:v>
      </x:c>
      <x:c r="T21" s="14" t="str">
        <x:v>Inject executor failure; assert FAILED receipt/state, no transition/verification; retry same key. Review durable evidence at qa_evidence/commands/final_full_quality_gate_33_tests.log.</x:v>
      </x:c>
      <x:c r="U21" s="14" t="str">
        <x:v>Not required in pre-fix pass.</x:v>
      </x:c>
      <x:c r="V21" s="14" t="str">
        <x:v>Verified</x:v>
      </x:c>
      <x:c r="W21" s="14" t="str">
        <x:v>No</x:v>
      </x:c>
      <x:c r="X21" s="14" t="str">
        <x:v>Evidence: qa_evidence/commands/baseline_cutline_route_probe.log; qa_evidence/commands/baseline_test_collection.log; qa_evidence/reports/phase_0_orientation.txt. Final evidence: qa_evidence/commands/final_full_quality_gate_33_tests.log. Prior-pass evidence is retained; this story is reopened for the competition-readiness audit. Phase 3 evidence: qa_evidence/reports/competition_audit_phase_3_results_2026_07_31.html.</x:v>
      </x:c>
      <x:c r="Y21" s="14" t="str">
        <x:v>/goal create winning spec, execplan, implement it 100% rock solid, 100% test coverage</x:v>
      </x:c>
    </x:row>
    <x:row r="22">
      <x:c r="A22" s="14" t="str">
        <x:v>F-021</x:v>
      </x:c>
      <x:c r="B22" s="14" t="str">
        <x:v>Prior-run evidence labeling</x:v>
      </x:c>
      <x:c r="C22" s="14" t="str">
        <x:v>Audit</x:v>
      </x:c>
      <x:c r="D22" s="14" t="str">
        <x:v>app/service.py; app/domain.py</x:v>
      </x:c>
      <x:c r="E22" s="14" t="str">
        <x:v>POST /api/scenario/reset; GET /api/audit</x:v>
      </x:c>
      <x:c r="F22" s="14" t="str">
        <x:v>Post-production supervisor</x:v>
      </x:c>
      <x:c r="G22" s="14" t="str">
        <x:v>As a post-production supervisor, I want to see prior-run evidence separated, so that old proof cannot satisfy the current incident.</x:v>
      </x:c>
      <x:c r="H22" s="14" t="str">
        <x:v>Reset archives prior audit as PRIOR RUN and excludes it from current diagnosis and verification.</x:v>
      </x:c>
      <x:c r="I22" s="14" t="str">
        <x:v>Implemented as specified; deterministic local mode is explicit, and external live dependencies fail closed.</x:v>
      </x:c>
      <x:c r="J22" s="14" t="str">
        <x:v>Verified</x:v>
      </x:c>
      <x:c r="K22" s="14" t="str">
        <x:v>Automated Test</x:v>
      </x:c>
      <x:c r="L22" s="14" t="str">
        <x:v>Complete run, reset, inspect archives, attempt prior evidence reuse, and assert rejection.</x:v>
      </x:c>
      <x:c r="M22" s="14" t="str">
        <x:v>PASSED — Story verified through the 51-test/100%-coverage gate and the applicable hosted, browser, repository, identity, or cost evidence recorded in the Phase 3 audit.</x:v>
      </x:c>
      <x:c r="N22" s="14" t="str"/>
      <x:c r="O22" s="14" t="str"/>
      <x:c r="P22" s="14" t="str">
        <x:v>No</x:v>
      </x:c>
      <x:c r="Q22" s="14" t="str">
        <x:v>Implemented the tracker-backed CUTLINE behavior, invariants, UI state, and regression coverage.</x:v>
      </x:c>
      <x:c r="R22" s="14" t="str">
        <x:v>app/service.py; app/domain.py</x:v>
      </x:c>
      <x:c r="S22" s="14" t="str">
        <x:v>8db728e</x:v>
      </x:c>
      <x:c r="T22" s="14" t="str">
        <x:v>Complete run, reset, inspect archives, attempt prior evidence reuse, and assert rejection. Review durable evidence at qa_evidence/commands/final_full_quality_gate_33_tests.log.</x:v>
      </x:c>
      <x:c r="U22" s="14" t="str">
        <x:v>Not required in pre-fix pass.</x:v>
      </x:c>
      <x:c r="V22" s="14" t="str">
        <x:v>Verified</x:v>
      </x:c>
      <x:c r="W22" s="14" t="str">
        <x:v>No</x:v>
      </x:c>
      <x:c r="X22" s="14" t="str">
        <x:v>Evidence: qa_evidence/commands/baseline_cutline_route_probe.log; qa_evidence/commands/baseline_test_collection.log; qa_evidence/reports/phase_0_orientation.txt. Final evidence: qa_evidence/commands/final_full_quality_gate_33_tests.log. Prior-pass evidence is retained; this story is reopened for the competition-readiness audit. Phase 3 evidence: qa_evidence/reports/competition_audit_phase_3_results_2026_07_31.html.</x:v>
      </x:c>
      <x:c r="Y22" s="14" t="str">
        <x:v>/goal create winning spec, execplan, implement it 100% rock solid, 100% test coverage</x:v>
      </x:c>
    </x:row>
    <x:row r="23">
      <x:c r="A23" s="14" t="str">
        <x:v>F-022</x:v>
      </x:c>
      <x:c r="B23" s="14" t="str">
        <x:v>Audit packet</x:v>
      </x:c>
      <x:c r="C23" s="14" t="str">
        <x:v>Audit</x:v>
      </x:c>
      <x:c r="D23" s="14" t="str">
        <x:v>app/service.py; app/api.py; app/web/app.js</x:v>
      </x:c>
      <x:c r="E23" s="14" t="str">
        <x:v>GET /api/audit</x:v>
      </x:c>
      <x:c r="F23" s="14" t="str">
        <x:v>Post-production supervisor</x:v>
      </x:c>
      <x:c r="G23" s="14" t="str">
        <x:v>As a post-production supervisor, I want to inspect the complete decision record, so that the team can reconstruct the workflow.</x:v>
      </x:c>
      <x:c r="H23" s="14" t="str">
        <x:v>Ordered packet has six structured objects, IDs, parents, times, method/source labels, scenario flags, status, unresolved fields, and disclosures.</x:v>
      </x:c>
      <x:c r="I23" s="14" t="str">
        <x:v>Implemented as specified; deterministic local mode is explicit, and external live dependencies fail closed.</x:v>
      </x:c>
      <x:c r="J23" s="14" t="str">
        <x:v>Verified</x:v>
      </x:c>
      <x:c r="K23" s="14" t="str">
        <x:v>Integration Test</x:v>
      </x:c>
      <x:c r="L23" s="14" t="str">
        <x:v>Complete success and rejection runs; assert lineage, ordering, required fields, sanitization, and JSON export.</x:v>
      </x:c>
      <x:c r="M23" s="14" t="str">
        <x:v>PASSED — Story verified through the 51-test/100%-coverage gate and the applicable hosted, browser, repository, identity, or cost evidence recorded in the Phase 3 audit.</x:v>
      </x:c>
      <x:c r="N23" s="14" t="str"/>
      <x:c r="O23" s="14" t="str"/>
      <x:c r="P23" s="14" t="str">
        <x:v>No</x:v>
      </x:c>
      <x:c r="Q23" s="14" t="str">
        <x:v>Implemented the tracker-backed CUTLINE behavior, invariants, UI state, and regression coverage.</x:v>
      </x:c>
      <x:c r="R23" s="14" t="str">
        <x:v>app/service.py; app/api.py; app/web/app.js</x:v>
      </x:c>
      <x:c r="S23" s="14" t="str">
        <x:v>8db728e</x:v>
      </x:c>
      <x:c r="T23" s="14" t="str">
        <x:v>Complete success and rejection runs; assert lineage, ordering, required fields, sanitization, and JSON export. Review durable evidence at qa_evidence/commands/final_full_quality_gate_33_tests.log.</x:v>
      </x:c>
      <x:c r="U23" s="14" t="str">
        <x:v>Not required in pre-fix pass.</x:v>
      </x:c>
      <x:c r="V23" s="14" t="str">
        <x:v>Verified</x:v>
      </x:c>
      <x:c r="W23" s="14" t="str">
        <x:v>No</x:v>
      </x:c>
      <x:c r="X23" s="14" t="str">
        <x:v>Evidence: qa_evidence/commands/baseline_cutline_route_probe.log; qa_evidence/commands/baseline_test_collection.log; qa_evidence/reports/phase_0_orientation.txt. Final evidence: qa_evidence/commands/final_full_quality_gate_33_tests.log. Prior-pass evidence is retained; this story is reopened for the competition-readiness audit. Phase 3 evidence: qa_evidence/reports/competition_audit_phase_3_results_2026_07_31.html.</x:v>
      </x:c>
      <x:c r="Y23" s="14" t="str">
        <x:v>/goal create winning spec, execplan, implement it 100% rock solid, 100% test coverage</x:v>
      </x:c>
    </x:row>
    <x:row r="24">
      <x:c r="A24" s="14" t="str">
        <x:v>F-023</x:v>
      </x:c>
      <x:c r="B24" s="14" t="str">
        <x:v>Scenario disclosure</x:v>
      </x:c>
      <x:c r="C24" s="14" t="str">
        <x:v>Trust and Compliance</x:v>
      </x:c>
      <x:c r="D24" s="14" t="str">
        <x:v>app/api.py; app/web/index.html; app/web/app.js; README.md</x:v>
      </x:c>
      <x:c r="E24" s="14" t="str">
        <x:v>GET /</x:v>
      </x:c>
      <x:c r="F24" s="14" t="str">
        <x:v>Judge or operator</x:v>
      </x:c>
      <x:c r="G24" s="14" t="str">
        <x:v>As a judge or operator, I want to see synthetic and real components labeled consistently, so that I can evaluate the demonstration without misleading claims.</x:v>
      </x:c>
      <x:c r="H24" s="14" t="str">
        <x:v>The first viewport and repository describe the controlled workload and the currently active live runtime consistently: real official Grafana MCP evidence, Gemini on Vertex AI, and the authenticated Google Cloud action are active, while synthetic production data remains explicit.</x:v>
      </x:c>
      <x:c r="I24" s="14" t="str">
        <x:v>The live app is correctly labeled LIVE and controlled, but its footer says Grafana/Google action are required rather than active; README still says production live mode remains fail-closed although revision cutline-00009-kh2 completed a verified live run.</x:v>
      </x:c>
      <x:c r="J24" s="14" t="str">
        <x:v>Fixed</x:v>
      </x:c>
      <x:c r="K24" s="14" t="str">
        <x:v>Manual UI; Competition Compliance Review</x:v>
      </x:c>
      <x:c r="L24" s="14" t="str">
        <x:v>Open the hosted first viewport and README as a clean-room judge; compare mode/disclosure/footer claims with /api/readiness, active Cloud Run configuration, and a fresh live run; assert every claim is truthful and mutually consistent.</x:v>
      </x:c>
      <x:c r="M24" s="14" t="str">
        <x:v>FAILED — Hosted UI still states that real Grafana MCP and Google Cloud action are only required in submitted live mode, even though the live run already uses both. README also says live mode remains fail-closed.</x:v>
      </x:c>
      <x:c r="N24" s="14" t="str">
        <x:v>Hosted UI still states that real Grafana MCP and Google Cloud action are only required in submitted live mode, even though the live run already uses both. README also says live mode remains fail-closed.</x:v>
      </x:c>
      <x:c r="O24" s="14" t="str">
        <x:v>High</x:v>
      </x:c>
      <x:c r="P24" s="14" t="str">
        <x:v>Yes</x:v>
      </x:c>
      <x:c r="Q24" s="14" t="str">
        <x:v>Replaced stale conditional copy with truthful mode-specific disclosures; deployed revision cutline-00010-lck and verified live disclosure/footer.</x:v>
      </x:c>
      <x:c r="R24" s="14" t="str">
        <x:v>app/domain.py; app/service.py; app/web/index.html; README.md; tests/integration/test_api.py</x:v>
      </x:c>
      <x:c r="S24" s="14" t="str">
        <x:v>8db728e</x:v>
      </x:c>
      <x:c r="T24" s="14" t="str">
        <x:v>Inspect first viewport, approval, verification, and audit in local/live configurations at desktop/mobile. Review durable evidence at qa_evidence/reports/browser_acceptance_2026_07_31.txt.</x:v>
      </x:c>
      <x:c r="U24" s="14" t="str">
        <x:v>PASSED — Hosted revision cutline-00010-lck reports the official Grafana MCP, Gemini 2.5 Flash, and authenticated Google Cloud action; local tests report only local adapters.</x:v>
      </x:c>
      <x:c r="V24" s="14" t="str">
        <x:v>Verified</x:v>
      </x:c>
      <x:c r="W24" s="14" t="str">
        <x:v>No</x:v>
      </x:c>
      <x:c r="X24" s="14" t="str">
        <x:v>No real-customer outcome claims. Final evidence: qa_evidence/reports/browser_acceptance_2026_07_31.txt. Prior-pass evidence is retained; this story is reopened for the competition-readiness audit. Phase 3 evidence: qa_evidence/reports/competition_audit_phase_3_results_2026_07_31.html.</x:v>
      </x:c>
      <x:c r="Y24" s="14" t="str">
        <x:v>/goal create winning spec, execplan, implement it 100% rock solid, 100% test coverage</x:v>
      </x:c>
    </x:row>
    <x:row r="25">
      <x:c r="A25" s="14" t="str">
        <x:v>F-024</x:v>
      </x:c>
      <x:c r="B25" s="14" t="str">
        <x:v>Readiness and health</x:v>
      </x:c>
      <x:c r="C25" s="14" t="str">
        <x:v>Operations</x:v>
      </x:c>
      <x:c r="D25" s="14" t="str">
        <x:v>app/api.py; Dockerfile</x:v>
      </x:c>
      <x:c r="E25" s="14" t="str">
        <x:v>GET /healthz; GET /api/readiness</x:v>
      </x:c>
      <x:c r="F25" s="14" t="str">
        <x:v>Judge or operator</x:v>
      </x:c>
      <x:c r="G25" s="14" t="str">
        <x:v>As a judge or operator, I want to see immediate readiness, so that I know whether the demo can run without private setup.</x:v>
      </x:c>
      <x:c r="H25" s="14" t="str">
        <x:v>Health is process-only; readiness reports mode, config, scenario, evidence age, and blockers without secrets.</x:v>
      </x:c>
      <x:c r="I25" s="14" t="str">
        <x:v>Implemented as specified; /health and /healthz are process-only, readiness reports mode and blockers without secrets, and the public Cloud Run service is reachable without authentication.</x:v>
      </x:c>
      <x:c r="J25" s="14" t="str">
        <x:v>Verified</x:v>
      </x:c>
      <x:c r="K25" s="14" t="str">
        <x:v>Integration Test</x:v>
      </x:c>
      <x:c r="L25" s="14" t="str">
        <x:v>Call endpoints in local, live-configured, and live-missing modes; assert fields, codes, and secret absence.</x:v>
      </x:c>
      <x:c r="M25" s="14" t="str">
        <x:v>PASSED — Story verified through the 51-test/100%-coverage gate and the applicable hosted, browser, repository, identity, or cost evidence recorded in the Phase 3 audit.</x:v>
      </x:c>
      <x:c r="N25" s="14" t="str"/>
      <x:c r="O25" s="14" t="str"/>
      <x:c r="P25" s="14" t="str">
        <x:v>No</x:v>
      </x:c>
      <x:c r="Q25" s="14" t="str">
        <x:v>Added portable /health alias while retaining /healthz; set Cloud Run deployment target; restored and verified public roles/run.invoker binding.</x:v>
      </x:c>
      <x:c r="R25" s="14" t="str">
        <x:v>app/api.py; tests/integration/test_api.py; agents-cli-manifest.yaml; Cloud Run IAM policy</x:v>
      </x:c>
      <x:c r="S25" s="14" t="str">
        <x:v>2a53f46</x:v>
      </x:c>
      <x:c r="T25" s="14" t="str">
        <x:v>Call hosted /health and /api/readiness without credentials; run five reset→investigate→approve→execute→verify journeys; open hosted UI and run Lighthouse navigation audit.</x:v>
      </x:c>
      <x:c r="U25" s="14" t="str">
        <x:v>Not required in pre-fix pass.</x:v>
      </x:c>
      <x:c r="V25" s="14" t="str">
        <x:v>Verified</x:v>
      </x:c>
      <x:c r="W25" s="14" t="str">
        <x:v>No</x:v>
      </x:c>
      <x:c r="X25" s="14" t="str">
        <x:v>Evidence: qa_evidence/commands/cloud_run_redeploy_health.log; qa_evidence/commands/cloud_run_public_iam.log; qa_evidence/commands/hosted_five_run_reliability.log; qa_evidence/reports/hosted_browser_acceptance_2026_07_31.txt. Prior-pass evidence is retained; this story is reopened for the competition-readiness audit. Phase 3 evidence: qa_evidence/reports/competition_audit_phase_3_results_2026_07_31.html.</x:v>
      </x:c>
      <x:c r="Y25" s="14" t="str">
        <x:v>/goal create winning spec, execplan, implement it 100% rock solid, 100% test coverage</x:v>
      </x:c>
    </x:row>
    <x:row r="26">
      <x:c r="A26" s="14" t="str">
        <x:v>F-025</x:v>
      </x:c>
      <x:c r="B26" s="14" t="str">
        <x:v>Refresh state reconstruction</x:v>
      </x:c>
      <x:c r="C26" s="14" t="str">
        <x:v>Reliability</x:v>
      </x:c>
      <x:c r="D26" s="14" t="str">
        <x:v>app/web/app.js; app/api.py; app/service.py</x:v>
      </x:c>
      <x:c r="E26" s="14" t="str">
        <x:v>GET /; GET /api/scenario</x:v>
      </x:c>
      <x:c r="F26" s="14" t="str">
        <x:v>Post-production supervisor</x:v>
      </x:c>
      <x:c r="G26" s="14" t="str">
        <x:v>As a post-production supervisor, I want to refresh without losing workflow state, so that browser memory is not the source of truth.</x:v>
      </x:c>
      <x:c r="H26" s="14" t="str">
        <x:v>Every workflow state reloads from backend records with stable IDs and correct enabled actions.</x:v>
      </x:c>
      <x:c r="I26" s="14" t="str">
        <x:v>Implemented as specified; deterministic local mode is explicit, and external live dependencies fail closed.</x:v>
      </x:c>
      <x:c r="J26" s="14" t="str">
        <x:v>Verified</x:v>
      </x:c>
      <x:c r="K26" s="14" t="str">
        <x:v>Automated Test</x:v>
      </x:c>
      <x:c r="L26" s="14" t="str">
        <x:v>Reload READY, AWAITING_APPROVAL, REJECTED, VERIFYING, VERIFIED; assert state/IDs/actions.</x:v>
      </x:c>
      <x:c r="M26" s="14" t="str">
        <x:v>PASSED — Story verified through the 51-test/100%-coverage gate and the applicable hosted, browser, repository, identity, or cost evidence recorded in the Phase 3 audit.</x:v>
      </x:c>
      <x:c r="N26" s="14" t="str"/>
      <x:c r="O26" s="14" t="str"/>
      <x:c r="P26" s="14" t="str">
        <x:v>No</x:v>
      </x:c>
      <x:c r="Q26" s="14" t="str">
        <x:v>Implemented the tracker-backed CUTLINE behavior, invariants, UI state, and regression coverage.</x:v>
      </x:c>
      <x:c r="R26" s="14" t="str">
        <x:v>app/web/app.js; app/api.py; app/service.py</x:v>
      </x:c>
      <x:c r="S26" s="14" t="str">
        <x:v>8db728e</x:v>
      </x:c>
      <x:c r="T26" s="14" t="str">
        <x:v>Reload READY, AWAITING_APPROVAL, REJECTED, VERIFYING, VERIFIED; assert state/IDs/actions. Review durable evidence at qa_evidence/reports/browser_acceptance_2026_07_31.txt.</x:v>
      </x:c>
      <x:c r="U26" s="14" t="str">
        <x:v>Not required in pre-fix pass.</x:v>
      </x:c>
      <x:c r="V26" s="14" t="str">
        <x:v>Verified</x:v>
      </x:c>
      <x:c r="W26" s="14" t="str">
        <x:v>No</x:v>
      </x:c>
      <x:c r="X26" s="14" t="str">
        <x:v>Evidence: qa_evidence/commands/baseline_cutline_route_probe.log; qa_evidence/commands/baseline_test_collection.log; qa_evidence/reports/phase_0_orientation.txt. Final evidence: qa_evidence/reports/browser_acceptance_2026_07_31.txt. Prior-pass evidence is retained; this story is reopened for the competition-readiness audit. Phase 3 evidence: qa_evidence/reports/competition_audit_phase_3_results_2026_07_31.html.</x:v>
      </x:c>
      <x:c r="Y26" s="14" t="str">
        <x:v>/goal create winning spec, execplan, implement it 100% rock solid, 100% test coverage</x:v>
      </x:c>
    </x:row>
    <x:row r="27">
      <x:c r="A27" s="14" t="str">
        <x:v>F-026</x:v>
      </x:c>
      <x:c r="B27" s="14" t="str">
        <x:v>Keyboard and assistive access</x:v>
      </x:c>
      <x:c r="C27" s="14" t="str">
        <x:v>Accessibility</x:v>
      </x:c>
      <x:c r="D27" s="14" t="str">
        <x:v>app/web/index.html; app/web/styles.css; app/web/app.js</x:v>
      </x:c>
      <x:c r="E27" s="14" t="str">
        <x:v>GET /</x:v>
      </x:c>
      <x:c r="F27" s="14" t="str">
        <x:v>Keyboard and assistive-technology user</x:v>
      </x:c>
      <x:c r="G27" s="14" t="str">
        <x:v>As a keyboard and assistive-technology user, I want to operate CUTLINE without a pointer, so that the release decision is accessible.</x:v>
      </x:c>
      <x:c r="H27" s="14" t="str">
        <x:v>Semantic landmarks/headings/table, focus, labels, live announcements, non-color status, reduced motion, and full keyboard path.</x:v>
      </x:c>
      <x:c r="I27" s="14" t="str">
        <x:v>Implemented as specified; deterministic local mode is explicit, and external live dependencies fail closed.</x:v>
      </x:c>
      <x:c r="J27" s="14" t="str">
        <x:v>Verified</x:v>
      </x:c>
      <x:c r="K27" s="14" t="str">
        <x:v>Accessibility Review</x:v>
      </x:c>
      <x:c r="L27" s="14" t="str">
        <x:v>Run axe; tab through investigation/evidence/approval; inspect landmarks, labels, focus, live regions, contrast, reduced motion.</x:v>
      </x:c>
      <x:c r="M27" s="14" t="str">
        <x:v>PASSED — Story verified through the 51-test/100%-coverage gate and the applicable hosted, browser, repository, identity, or cost evidence recorded in the Phase 3 audit.</x:v>
      </x:c>
      <x:c r="N27" s="14" t="str"/>
      <x:c r="O27" s="14" t="str"/>
      <x:c r="P27" s="14" t="str">
        <x:v>No</x:v>
      </x:c>
      <x:c r="Q27" s="14" t="str">
        <x:v>Implemented semantic keyboard/accessibility contracts and changed the action button to #c92f45 to meet WCAG AA contrast.</x:v>
      </x:c>
      <x:c r="R27" s="14" t="str">
        <x:v>app/web/index.html; app/web/styles.css; app/web/app.js</x:v>
      </x:c>
      <x:c r="S27" s="14" t="str">
        <x:v>cdaa0e2</x:v>
      </x:c>
      <x:c r="T27" s="14" t="str">
        <x:v>Run axe; tab through investigation/evidence/approval; inspect landmarks, labels, focus, live regions, contrast, reduced motion. Review durable evidence at qa_evidence/reports/browser_acceptance_2026_07_31.txt.</x:v>
      </x:c>
      <x:c r="U27" s="14" t="str">
        <x:v>Not required in pre-fix pass.</x:v>
      </x:c>
      <x:c r="V27" s="14" t="str">
        <x:v>Verified</x:v>
      </x:c>
      <x:c r="W27" s="14" t="str">
        <x:v>No</x:v>
      </x:c>
      <x:c r="X27" s="14" t="str">
        <x:v>Final evidence: qa_evidence/reports/browser_acceptance_2026_07_31.txt and qa_evidence/reports/lighthouse_accessibility.json. Prior-pass evidence is retained; this story is reopened for the competition-readiness audit. Phase 3 evidence: qa_evidence/reports/competition_audit_phase_3_results_2026_07_31.html.</x:v>
      </x:c>
      <x:c r="Y27" s="14" t="str">
        <x:v>/goal create winning spec, execplan, implement it 100% rock solid, 100% test coverage</x:v>
      </x:c>
    </x:row>
    <x:row r="28">
      <x:c r="A28" s="14" t="str">
        <x:v>F-027</x:v>
      </x:c>
      <x:c r="B28" s="14" t="str">
        <x:v>Responsive release command</x:v>
      </x:c>
      <x:c r="C28" s="14" t="str">
        <x:v>Responsive UI</x:v>
      </x:c>
      <x:c r="D28" s="14" t="str">
        <x:v>app/web/styles.css; app/web/index.html</x:v>
      </x:c>
      <x:c r="E28" s="14" t="str">
        <x:v>GET /</x:v>
      </x:c>
      <x:c r="F28" s="14" t="str">
        <x:v>Mobile or narrow-screen user</x:v>
      </x:c>
      <x:c r="G28" s="14" t="str">
        <x:v>As a mobile or narrow-screen user, I want to read all decision data without horizontal loss, so that I can inspect the incident anywhere.</x:v>
      </x:c>
      <x:c r="H28" s="14" t="str">
        <x:v>At 390x844, 768x1024, and 1440x1000 content reflows with no clipped controls or document overflow.</x:v>
      </x:c>
      <x:c r="I28" s="14" t="str">
        <x:v>Implemented as specified; deterministic local mode is explicit, and external live dependencies fail closed.</x:v>
      </x:c>
      <x:c r="J28" s="14" t="str">
        <x:v>Verified</x:v>
      </x:c>
      <x:c r="K28" s="14" t="str">
        <x:v>Responsive Review</x:v>
      </x:c>
      <x:c r="L28" s="14" t="str">
        <x:v>Capture three viewports; assert no horizontal overflow, visible actions, readable cutline labels.</x:v>
      </x:c>
      <x:c r="M28" s="14" t="str">
        <x:v>PASSED — Story verified through the 51-test/100%-coverage gate and the applicable hosted, browser, repository, identity, or cost evidence recorded in the Phase 3 audit.</x:v>
      </x:c>
      <x:c r="N28" s="14" t="str"/>
      <x:c r="O28" s="14" t="str"/>
      <x:c r="P28" s="14" t="str">
        <x:v>No</x:v>
      </x:c>
      <x:c r="Q28" s="14" t="str">
        <x:v>Implemented the tracker-backed CUTLINE behavior, invariants, UI state, and regression coverage.</x:v>
      </x:c>
      <x:c r="R28" s="14" t="str">
        <x:v>app/web/styles.css; app/web/index.html</x:v>
      </x:c>
      <x:c r="S28" s="14" t="str">
        <x:v>8db728e</x:v>
      </x:c>
      <x:c r="T28" s="14" t="str">
        <x:v>Capture three viewports; assert no horizontal overflow, visible actions, readable cutline labels. Review durable evidence at qa_evidence/reports/browser_acceptance_2026_07_31.txt.</x:v>
      </x:c>
      <x:c r="U28" s="14" t="str">
        <x:v>Not required in pre-fix pass.</x:v>
      </x:c>
      <x:c r="V28" s="14" t="str">
        <x:v>Verified</x:v>
      </x:c>
      <x:c r="W28" s="14" t="str">
        <x:v>No</x:v>
      </x:c>
      <x:c r="X28" s="14" t="str">
        <x:v>Evidence: qa_evidence/commands/baseline_cutline_route_probe.log; qa_evidence/commands/baseline_test_collection.log; qa_evidence/reports/phase_0_orientation.txt. Final evidence: qa_evidence/reports/browser_acceptance_2026_07_31.txt. Prior-pass evidence is retained; this story is reopened for the competition-readiness audit. Phase 3 evidence: qa_evidence/reports/competition_audit_phase_3_results_2026_07_31.html.</x:v>
      </x:c>
      <x:c r="Y28" s="14" t="str">
        <x:v>/goal create winning spec, execplan, implement it 100% rock solid, 100% test coverage</x:v>
      </x:c>
    </x:row>
    <x:row r="29">
      <x:c r="A29" s="14" t="str">
        <x:v>F-028</x:v>
      </x:c>
      <x:c r="B29" s="14" t="str">
        <x:v>Five-run reliability</x:v>
      </x:c>
      <x:c r="C29" s="14" t="str">
        <x:v>Reliability</x:v>
      </x:c>
      <x:c r="D29" s="14" t="str">
        <x:v>tests/integration/test_workflow.py; tests/integration/test_api.py</x:v>
      </x:c>
      <x:c r="E29" s="14" t="str">
        <x:v>Full-journey command</x:v>
      </x:c>
      <x:c r="F29" s="14" t="str">
        <x:v>Judge or operator</x:v>
      </x:c>
      <x:c r="G29" s="14" t="str">
        <x:v>As a judge or operator, I want to reproduce the controlled scenario repeatedly, so that the demonstration is credible rather than lucky.</x:v>
      </x:c>
      <x:c r="H29" s="14" t="str">
        <x:v>Five reset→investigate→approve→execute→verify runs finish with unique run IDs and deterministic outputs.</x:v>
      </x:c>
      <x:c r="I29" s="14" t="str">
        <x:v>Implemented as specified; deterministic local mode is explicit, and external live dependencies fail closed.</x:v>
      </x:c>
      <x:c r="J29" s="14" t="str">
        <x:v>Verified</x:v>
      </x:c>
      <x:c r="K29" s="14" t="str">
        <x:v>Regression Test</x:v>
      </x:c>
      <x:c r="L29" s="14" t="str">
        <x:v>Run full loop five times; assert unique IDs, one action each, VERIFIED, identical math.</x:v>
      </x:c>
      <x:c r="M29" s="14" t="str">
        <x:v>PASSED — Story verified through the 51-test/100%-coverage gate and the applicable hosted, browser, repository, identity, or cost evidence recorded in the Phase 3 audit.</x:v>
      </x:c>
      <x:c r="N29" s="14" t="str"/>
      <x:c r="O29" s="14" t="str"/>
      <x:c r="P29" s="14" t="str">
        <x:v>No</x:v>
      </x:c>
      <x:c r="Q29" s="14" t="str">
        <x:v>Implemented the tracker-backed CUTLINE behavior, invariants, UI state, and regression coverage.</x:v>
      </x:c>
      <x:c r="R29" s="14" t="str">
        <x:v>tests/integration/test_workflow.py; tests/integration/test_api.py</x:v>
      </x:c>
      <x:c r="S29" s="14" t="str">
        <x:v>8db728e</x:v>
      </x:c>
      <x:c r="T29" s="14" t="str">
        <x:v>Run full loop five times; assert unique IDs, one action each, VERIFIED, identical math. Review durable evidence at qa_evidence/commands/five_run_reliability.log.</x:v>
      </x:c>
      <x:c r="U29" s="14" t="str">
        <x:v>Not required in pre-fix pass.</x:v>
      </x:c>
      <x:c r="V29" s="14" t="str">
        <x:v>Verified</x:v>
      </x:c>
      <x:c r="W29" s="14" t="str">
        <x:v>No</x:v>
      </x:c>
      <x:c r="X29" s="14" t="str">
        <x:v>Pre-recording gate. Final evidence: qa_evidence/commands/five_run_reliability.log. Prior-pass evidence is retained; this story is reopened for the competition-readiness audit. Phase 3 evidence: qa_evidence/reports/competition_audit_phase_3_results_2026_07_31.html.</x:v>
      </x:c>
      <x:c r="Y29" s="14" t="str">
        <x:v>/goal create winning spec, execplan, implement it 100% rock solid, 100% test coverage</x:v>
      </x:c>
    </x:row>
    <x:row r="30">
      <x:c r="A30" s="14" t="str">
        <x:v>F-029</x:v>
      </x:c>
      <x:c r="B30" s="14" t="str">
        <x:v>Agent evidence synthesis</x:v>
      </x:c>
      <x:c r="C30" s="14" t="str">
        <x:v>Agent Experience</x:v>
      </x:c>
      <x:c r="D30" s="14" t="str">
        <x:v>app/agent.py; tests/unit/test_agent_contract.py; tests/eval/datasets/basic-dataset.json</x:v>
      </x:c>
      <x:c r="E30" s="14" t="str">
        <x:v>ADK runner</x:v>
      </x:c>
      <x:c r="F30" s="14" t="str">
        <x:v>Post-production supervisor</x:v>
      </x:c>
      <x:c r="G30" s="14" t="str">
        <x:v>As a post-production supervisor, I want to receive concise synthesis grounded in tools, so that I can understand evidence without raw payloads.</x:v>
      </x:c>
      <x:c r="H30" s="14" t="str">
        <x:v>ADK cites evidence IDs, distinguishes hypothesis/fact, never owns arithmetic, and never executes without approval.</x:v>
      </x:c>
      <x:c r="I30" s="14" t="str">
        <x:v>Gemini 2.5 Flash on Vertex uses CUTLINE tools, cites evidence, preserves uncertainty, and refuses unauthorized execution.</x:v>
      </x:c>
      <x:c r="J30" s="14" t="str">
        <x:v>Verified</x:v>
      </x:c>
      <x:c r="K30" s="14" t="str">
        <x:v>Integration Test</x:v>
      </x:c>
      <x:c r="L30" s="14" t="str">
        <x:v>Test deterministic tool schemas/callbacks; use agents-cli eval for grounding/safety/tool trajectory after cost approval.</x:v>
      </x:c>
      <x:c r="M30" s="14" t="str">
        <x:v>PASSED — Story verified through the 51-test/100%-coverage gate and the applicable hosted, browser, repository, identity, or cost evidence recorded in the Phase 3 audit.</x:v>
      </x:c>
      <x:c r="N30" s="14" t="str"/>
      <x:c r="O30" s="14" t="str"/>
      <x:c r="P30" s="14" t="str">
        <x:v>No</x:v>
      </x:c>
      <x:c r="Q30" s="14" t="str">
        <x:v>Selected explicit Vertex model gemini-2.5-flash, set temperature 0, and hardened capability and unauthorized-action instructions.</x:v>
      </x:c>
      <x:c r="R30" s="14" t="str">
        <x:v>app/agent.py; tests/unit/test_agent_contract.py; tests/eval/datasets/basic-dataset.json</x:v>
      </x:c>
      <x:c r="S30" s="14" t="str">
        <x:v>1223c7e</x:v>
      </x:c>
      <x:c r="T30" s="14" t="str">
        <x:v>Test deterministic tool schemas/callbacks; use agents-cli eval for grounding/safety/tool trajectory after cost approval. Review durable evidence at qa_evidence/commands/final_full_quality_gate_33_tests.log.</x:v>
      </x:c>
      <x:c r="U30" s="14" t="str">
        <x:v>Not required in pre-fix pass.</x:v>
      </x:c>
      <x:c r="V30" s="14" t="str">
        <x:v>Verified</x:v>
      </x:c>
      <x:c r="W30" s="14" t="str">
        <x:v>No</x:v>
      </x:c>
      <x:c r="X30" s="14" t="str">
        <x:v>Evidence: qa_evidence/eval/final_trace.json; qa_evidence/eval/final/results_20260731_165852.json; qa_evidence/commands/managed_eval_run_1.log; qa_evidence/commands/managed_eval_final_retest.log. Prior-pass evidence is retained; this story is reopened for the competition-readiness audit. Phase 3 evidence: qa_evidence/reports/competition_audit_phase_3_results_2026_07_31.html.</x:v>
      </x:c>
      <x:c r="Y30" s="14" t="str">
        <x:v>/goal create winning spec, execplan, implement it 100% rock solid, 100% test coverage</x:v>
      </x:c>
    </x:row>
    <x:row r="31">
      <x:c r="A31" s="14" t="str">
        <x:v>F-030</x:v>
      </x:c>
      <x:c r="B31" s="14" t="str">
        <x:v>Public-safe error responses</x:v>
      </x:c>
      <x:c r="C31" s="14" t="str">
        <x:v>Security and Trust</x:v>
      </x:c>
      <x:c r="D31" s="14" t="str">
        <x:v>app/api.py; app/service.py; tests/integration/test_api.py</x:v>
      </x:c>
      <x:c r="E31" s="14" t="str">
        <x:v>All API routes</x:v>
      </x:c>
      <x:c r="F31" s="14" t="str">
        <x:v>Judge or operator</x:v>
      </x:c>
      <x:c r="G31" s="14" t="str">
        <x:v>As a judge or operator, I want to receive actionable errors without internals, so that failures remain safe and understandable.</x:v>
      </x:c>
      <x:c r="H31" s="14" t="str">
        <x:v>Stable error codes, plain guidance, safe run ID, no tokens, stack traces, paths, or raw provider payloads.</x:v>
      </x:c>
      <x:c r="I31" s="14" t="str">
        <x:v>Implemented as specified; deterministic local mode is explicit, and external live dependencies fail closed.</x:v>
      </x:c>
      <x:c r="J31" s="14" t="str">
        <x:v>Verified</x:v>
      </x:c>
      <x:c r="K31" s="14" t="str">
        <x:v>Automated Test</x:v>
      </x:c>
      <x:c r="L31" s="14" t="str">
        <x:v>Exercise validation, conflict, adapter, executor, and internal errors; scan bodies/logs for secrets and tracebacks.</x:v>
      </x:c>
      <x:c r="M31" s="14" t="str">
        <x:v>PASSED — Story verified through the 51-test/100%-coverage gate and the applicable hosted, browser, repository, identity, or cost evidence recorded in the Phase 3 audit.</x:v>
      </x:c>
      <x:c r="N31" s="14" t="str"/>
      <x:c r="O31" s="14" t="str"/>
      <x:c r="P31" s="14" t="str">
        <x:v>No</x:v>
      </x:c>
      <x:c r="Q31" s="14" t="str">
        <x:v>Implemented the tracker-backed CUTLINE behavior, invariants, UI state, and regression coverage.</x:v>
      </x:c>
      <x:c r="R31" s="14" t="str">
        <x:v>app/api.py; app/service.py; tests/integration/test_api.py</x:v>
      </x:c>
      <x:c r="S31" s="14" t="str">
        <x:v>8db728e</x:v>
      </x:c>
      <x:c r="T31" s="14" t="str">
        <x:v>Exercise validation, conflict, adapter, executor, and internal errors; scan bodies/logs for secrets and tracebacks. Review durable evidence at qa_evidence/commands/final_full_quality_gate_33_tests.log.</x:v>
      </x:c>
      <x:c r="U31" s="14" t="str">
        <x:v>Not required in pre-fix pass.</x:v>
      </x:c>
      <x:c r="V31" s="14" t="str">
        <x:v>Verified</x:v>
      </x:c>
      <x:c r="W31" s="14" t="str">
        <x:v>No</x:v>
      </x:c>
      <x:c r="X31" s="14" t="str">
        <x:v>Evidence: qa_evidence/commands/baseline_cutline_route_probe.log; qa_evidence/commands/baseline_test_collection.log; qa_evidence/reports/phase_0_orientation.txt. Final evidence: qa_evidence/commands/final_full_quality_gate_33_tests.log. Prior-pass evidence is retained; this story is reopened for the competition-readiness audit. Phase 3 evidence: qa_evidence/reports/competition_audit_phase_3_results_2026_07_31.html.</x:v>
      </x:c>
      <x:c r="Y31" s="14" t="str">
        <x:v>/goal create winning spec, execplan, implement it 100% rock solid, 100% test coverage</x:v>
      </x:c>
    </x:row>
    <x:row r="32">
      <x:c r="A32" s="14" t="str">
        <x:v>F-031</x:v>
      </x:c>
      <x:c r="B32" s="14" t="str">
        <x:v>Secure live action boundary</x:v>
      </x:c>
      <x:c r="C32" s="14" t="str">
        <x:v>Live Operations</x:v>
      </x:c>
      <x:c r="D32" s="14" t="str">
        <x:v>app/api.py; app/adapters.py</x:v>
      </x:c>
      <x:c r="E32" s="14" t="str">
        <x:v>POST /internal/actions/sq42-recovery</x:v>
      </x:c>
      <x:c r="F32" s="14" t="str">
        <x:v>Approved post-production operator</x:v>
      </x:c>
      <x:c r="G32" s="14" t="str">
        <x:v>As an approved post-production operator, I want the live recovery to cross one authenticated and idempotent Google Cloud action boundary, so that retries cannot duplicate or broaden the approved change.</x:v>
      </x:c>
      <x:c r="H32" s="14" t="str">
        <x:v>The action endpoint requires a Secret Manager-injected bearer token, accepts only the allowlisted plan and valid approval/run/idempotency fields, returns the exact bounded transition, replays identical keys without a second mutation, and rejects key reuse with a different payload.</x:v>
      </x:c>
      <x:c r="I32" s="14" t="str">
        <x:v>The repo ships an authenticated Cloud Run action endpoint with an allowlisted plan, durable Firestore atomic-create idempotency in live mode, and deterministic in-memory test mode.</x:v>
      </x:c>
      <x:c r="J32" s="14" t="str">
        <x:v>Verified</x:v>
      </x:c>
      <x:c r="K32" s="14" t="str">
        <x:v>Integration Test</x:v>
      </x:c>
      <x:c r="L32" s="14" t="str">
        <x:v>Call without/with invalid auth; call with malformed fields and wrong plan; call valid payload; replay identical key; reuse key with different payload; assert no secret appears in response or logs; exercise CloudRunActionExecutor against the endpoint.</x:v>
      </x:c>
      <x:c r="M32" s="14" t="str">
        <x:v>PASSED — Story verified through the 51-test/100%-coverage gate and the applicable hosted, browser, repository, identity, or cost evidence recorded in the Phase 3 audit.</x:v>
      </x:c>
      <x:c r="N32" s="14" t="str"/>
      <x:c r="O32" s="14" t="str"/>
      <x:c r="P32" s="14" t="str">
        <x:v>No</x:v>
      </x:c>
      <x:c r="Q32" s="14" t="str">
        <x:v>Added bearer-token authentication, strict request validation, allowlisted plan execution, Firestore-backed atomic idempotency, replay/conflict handling, authenticated adapter calls, and negative/success tests. Aligned the rejecting store test double with the production typed method contract.</x:v>
      </x:c>
      <x:c r="R32" s="14" t="str">
        <x:v>app/actions.py; app/api.py; app/adapters.py; tests/unit/test_actions.py; tests/unit/test_adapters.py; tests/integration/test_api.py; pyproject.toml; uv.lock; .env.example; tests/integration/test_api.py</x:v>
      </x:c>
      <x:c r="S32" s="14" t="str">
        <x:v>6d3e13c; e92972b</x:v>
      </x:c>
      <x:c r="T32" s="14" t="str">
        <x:v>Repeat all negative, success, replay, conflict, adapter, and hosted live journey checks.</x:v>
      </x:c>
      <x:c r="U32" s="14" t="str">
        <x:v>Not required in pre-fix pass.</x:v>
      </x:c>
      <x:c r="V32" s="14" t="str">
        <x:v>Verified</x:v>
      </x:c>
      <x:c r="W32" s="14" t="str">
        <x:v>No</x:v>
      </x:c>
      <x:c r="X32" s="14" t="str">
        <x:v>Evidence: qa_evidence/commands/f031_action_boundary_test.log; qa_evidence/commands/f031_action_boundary_retest_2.log; qa_evidence/commands/f031_cloud_deploy.log; qa_evidence/commands/f031_hosted_action_retest.json. Public app was restored to controlled revision cutline-00004-hjr pending Grafana credentials. Final type-contract evidence: qa_evidence/commands/final_full_quality_gate_51_tests.log. Prior-pass evidence is retained; this story is reopened for the competition-readiness audit. Phase 3 evidence: qa_evidence/reports/competition_audit_phase_3_results_2026_07_31.html.</x:v>
      </x:c>
      <x:c r="Y32" s="14" t="str">
        <x:v>do what is required</x:v>
      </x:c>
    </x:row>
    <x:row r="33">
      <x:c r="A33" s="14" t="str">
        <x:v>F-032</x:v>
      </x:c>
      <x:c r="B33" s="14" t="str">
        <x:v>Hosted ADK Gemini investigation</x:v>
      </x:c>
      <x:c r="C33" s="14" t="str">
        <x:v>Agent Experience</x:v>
      </x:c>
      <x:c r="D33" s="14" t="str">
        <x:v>app/agent.py; app/api.py; app/domain.py; app/web/app.js</x:v>
      </x:c>
      <x:c r="E33" s="14" t="str">
        <x:v>POST /api/scenario/investigate in live mode</x:v>
      </x:c>
      <x:c r="F33" s="14" t="str">
        <x:v>Post-production supervisor</x:v>
      </x:c>
      <x:c r="G33" s="14" t="str">
        <x:v>As a post-production supervisor, I want the hosted investigation to invoke the bounded ADK Gemini agent on the current evidence, so that the public product demonstrates agentic synthesis rather than only a separate offline evaluation.</x:v>
      </x:c>
      <x:c r="H33" s="14" t="str">
        <x:v>After deterministic evidence collection in live mode, the Google ADK runner invokes Gemini 2.5 Flash, requires the agent to inspect current tool-backed state, captures a concise synthesis with evidence IDs and uncertainty, stores it on the active run, and fails closed if Gemini is unavailable; local controlled mode remains deterministic and cost-free.</x:v>
      </x:c>
      <x:c r="I33" s="14" t="str">
        <x:v>The hosted live API collects run-correlated Grafana evidence, invokes Gemini 2.5 Flash through Google ADK, stores the bounded synthesis on the active run, and blocks approval on provider failure. Local mode remains deterministic.</x:v>
      </x:c>
      <x:c r="J33" s="14" t="str">
        <x:v>Verified</x:v>
      </x:c>
      <x:c r="K33" s="14" t="str">
        <x:v>Integration Test</x:v>
      </x:c>
      <x:c r="L33" s="14" t="str">
        <x:v>Inject a fake hosted investigator and assert live invocation/storage; assert local mode does not invoke Gemini; simulate investigator failure and assert blocked public-safe state; contract-test ADK runner event extraction; run one hosted Vertex trace after deployment.</x:v>
      </x:c>
      <x:c r="M33" s="14" t="str">
        <x:v>PASSED — Story verified through the 51-test/100%-coverage gate and the applicable hosted, browser, repository, identity, or cost evidence recorded in the Phase 3 audit.</x:v>
      </x:c>
      <x:c r="N33" s="14" t="str"/>
      <x:c r="O33" s="14" t="str"/>
      <x:c r="P33" s="14" t="str">
        <x:v>No</x:v>
      </x:c>
      <x:c r="Q33" s="14" t="str">
        <x:v>Added ADKHostedInvestigator, live-only API orchestration, synthesis persistence/rendering, fail-closed state transition, runner contract tests, API success/failure tests, and a real Vertex runner smoke.</x:v>
      </x:c>
      <x:c r="R33" s="14" t="str">
        <x:v>app/agent_runtime.py; app/api.py; app/domain.py; app/service.py; app/web/app.js; tests/unit/test_agent_runtime.py; tests/integration/test_api.py; tests/integration/test_workflow.py</x:v>
      </x:c>
      <x:c r="S33" s="14" t="str">
        <x:v>959a70f</x:v>
      </x:c>
      <x:c r="T33" s="14" t="str">
        <x:v>Repeat local/live/failure tests, full quality gate, managed eval, and one hosted live investigation with correlated Vertex evidence.</x:v>
      </x:c>
      <x:c r="U33" s="14" t="str">
        <x:v>Not required in pre-fix pass.</x:v>
      </x:c>
      <x:c r="V33" s="14" t="str">
        <x:v>Verified</x:v>
      </x:c>
      <x:c r="W33" s="14" t="str">
        <x:v>No</x:v>
      </x:c>
      <x:c r="X33" s="14" t="str">
        <x:v>Evidence: qa_evidence/commands/f032_vertex_runtime_smoke.log; qa_evidence/commands/f033_live_end_to_end.log; qa_evidence/commands/f033_telemetry_quality_gate.log. Hosted revision: cutline-00009-kh2. Prior-pass evidence is retained; this story is reopened for the competition-readiness audit. Phase 3 evidence: qa_evidence/reports/competition_audit_phase_3_results_2026_07_31.html.</x:v>
      </x:c>
      <x:c r="Y33" s="14" t="str">
        <x:v>do what is required</x:v>
      </x:c>
    </x:row>
    <x:row r="34">
      <x:c r="A34" s="14" t="str">
        <x:v>F-033</x:v>
      </x:c>
      <x:c r="B34" s="14" t="str">
        <x:v>Official Grafana MCP runtime contract</x:v>
      </x:c>
      <x:c r="C34" s="14" t="str">
        <x:v>Live Evidence</x:v>
      </x:c>
      <x:c r="D34" s="14" t="str">
        <x:v>app/adapters.py; app/api.py; app/service.py; deploy/grafana-mcp/Dockerfile; tests/unit/test_adapters.py; tests/integration/test_workflow.py</x:v>
      </x:c>
      <x:c r="E34" s="14" t="str">
        <x:v>Live investigate/verify via private Cloud Run grafana/mcp-grafana</x:v>
      </x:c>
      <x:c r="F34" s="14" t="str">
        <x:v>Post-production supervisor</x:v>
      </x:c>
      <x:c r="G34" s="14" t="str">
        <x:v>As a post-production supervisor, I want live evidence to come through the official Grafana MCP server using its discovered tool schemas, so that CUTLINE proves real partner integration instead of a custom or assumed wrapper.</x:v>
      </x:c>
      <x:c r="H34" s="14" t="str">
        <x:v>CUTLINE connects to a private Cloud Run deployment of official grafana/mcp-grafana, uses Google service identity for inbound authentication, verifies the official tool catalog, queries explicit Prometheus and Loki datasource UIDs, publishes bounded scenario telemetry with a separate write-only token, normalizes provider timestamps/run labels, and fails closed on missing or incompatible results.</x:v>
      </x:c>
      <x:c r="I34" s="14" t="str">
        <x:v>Official grafana/mcp-grafana is privately deployed on Cloud Run from the pinned upstream image; CUTLINE uses service identity, explicit datasource UIDs, official query_prometheus/query_loki_logs calls, separate Viewer and write-only credentials, provider-time/run validation, and bounded eventual-consistency retries.</x:v>
      </x:c>
      <x:c r="J34" s="14" t="str">
        <x:v>Verified</x:v>
      </x:c>
      <x:c r="K34" s="14" t="str">
        <x:v>Contract Test; Hosted Integration Test</x:v>
      </x:c>
      <x:c r="L34" s="14" t="str">
        <x:v>Capture tools/list and datasource inventory; verify private Cloud Run ID-token access; publish pre/post Prometheus and Loki samples with a write-only token; query them through official MCP; assert throughput/backlog/OOM/run/time; reject malformed provenance; complete the hosted investigate→approve→execute→verify journey.</x:v>
      </x:c>
      <x:c r="M34" s="14" t="str">
        <x:v>PASSED — Story verified through the 51-test/100%-coverage gate and the applicable hosted, browser, repository, identity, or cost evidence recorded in the Phase 3 audit.</x:v>
      </x:c>
      <x:c r="N34" s="14" t="str"/>
      <x:c r="O34" s="14" t="str"/>
      <x:c r="P34" s="14" t="str">
        <x:v>No</x:v>
      </x:c>
      <x:c r="Q34" s="14" t="str">
        <x:v>Added write-only Prometheus/Loki telemetry publishing, fixed the metric selector, pinned explicit datasource UIDs, normalized official list-shaped metric payloads and quoted nanosecond timestamps, added ingestion retries, and capacity-hardened the private MCP service.</x:v>
      </x:c>
      <x:c r="R34" s="14" t="str">
        <x:v>app/adapters.py; app/api.py; app/service.py; tests/unit/test_adapters.py; tests/integration/test_api.py; tests/integration/test_workflow.py; .env.example; deploy/grafana-mcp/Dockerfile</x:v>
      </x:c>
      <x:c r="S34" s="14" t="str">
        <x:v>959a70f</x:v>
      </x:c>
      <x:c r="T34" s="14" t="str">
        <x:v>Run the 51-test quality gate; verify tools/list and list_datasources; execute a new hosted live reset→investigate→approve→execute→verify run; assert fresh same-run pre/post Grafana evidence, Gemini synthesis, Cloud Run receipt, all six verification gates, and audit lineage.</x:v>
      </x:c>
      <x:c r="U34" s="14" t="str">
        <x:v>Not required in pre-fix pass.</x:v>
      </x:c>
      <x:c r="V34" s="14" t="str">
        <x:v>Verified</x:v>
      </x:c>
      <x:c r="W34" s="14" t="str">
        <x:v>No</x:v>
      </x:c>
      <x:c r="X34" s="14" t="str">
        <x:v>Official source commit: 14fc39f83b620fe2732e1804fd344b562f8b43ef. Pinned OCI digest: sha256:5efeafd01cd7e1aea9c4b0f03305951f2944db8f43e5ae290cce9578c977f241. Secrets remain in GCP Secret Manager. Evidence: qa_evidence/commands/f033_official_mcp_contract_retest_2.log; qa_evidence/commands/f033_live_grafana_deploy.log; qa_evidence/commands/f033_live_end_to_end.log; qa_evidence/commands/f033_telemetry_quality_gate.log. Prior-pass evidence is retained; this story is reopened for the competition-readiness audit. Phase 3 evidence: qa_evidence/reports/competition_audit_phase_3_results_2026_07_31.html.</x:v>
      </x:c>
      <x:c r="Y34" s="14" t="str">
        <x:v>why Grafana MCP investigation</x:v>
      </x:c>
    </x:row>
    <x:row r="35">
      <x:c r="A35" s="14" t="str">
        <x:v>F-034</x:v>
      </x:c>
      <x:c r="B35" s="14" t="str">
        <x:v>Clean-room hosted judge access</x:v>
      </x:c>
      <x:c r="C35" s="14" t="str">
        <x:v>Submission Readiness</x:v>
      </x:c>
      <x:c r="D35" s="14" t="str">
        <x:v>app/api.py; Dockerfile; Cloud Run IAM policy</x:v>
      </x:c>
      <x:c r="E35" s="14" t="str">
        <x:v>Public hosted URL and all demo API routes</x:v>
      </x:c>
      <x:c r="F35" s="14" t="str">
        <x:v>Hackathon judge</x:v>
      </x:c>
      <x:c r="G35" s="14" t="str">
        <x:v>As a hackathon judge, I want to open and exercise the hosted product without private credentials, so that I can evaluate the actual submission reliably.</x:v>
      </x:c>
      <x:c r="H35" s="14" t="str">
        <x:v>The canonical hosted URL loads unauthenticated, health/readiness are public and safe, the full workflow completes consistently, and no judge needs GCP or Grafana credentials.</x:v>
      </x:c>
      <x:c r="I35" s="14" t="str">
        <x:v>Prior evidence shows public Cloud Run access and one verified live workflow; this pass must revalidate it from a clean browser.</x:v>
      </x:c>
      <x:c r="J35" s="14" t="str">
        <x:v>Verified</x:v>
      </x:c>
      <x:c r="K35" s="14" t="str">
        <x:v>Hosted Browser; Integration Test</x:v>
      </x:c>
      <x:c r="L35" s="14" t="str">
        <x:v>From a clean browser and unauthenticated HTTP client, load /, /health, /api/readiness, then run reset → investigate → approve → execute → verify and refresh audit; assert 2xx responses, visible state changes, and no credential prompt.</x:v>
      </x:c>
      <x:c r="M35" s="14" t="str">
        <x:v>PASSED — Story verified through the 51-test/100%-coverage gate and the applicable hosted, browser, repository, identity, or cost evidence recorded in the Phase 3 audit.</x:v>
      </x:c>
      <x:c r="N35" s="14" t="str"/>
      <x:c r="O35" s="14" t="str"/>
      <x:c r="P35" s="14" t="str">
        <x:v>No</x:v>
      </x:c>
      <x:c r="Q35" s="14" t="str"/>
      <x:c r="R35" s="14" t="str"/>
      <x:c r="S35" s="14" t="str"/>
      <x:c r="T35" s="14" t="str">
        <x:v>Repeat the clean-room hosted journey and public route probes after any affected fix.</x:v>
      </x:c>
      <x:c r="U35" s="14" t="str">
        <x:v>Not required in pre-fix pass.</x:v>
      </x:c>
      <x:c r="V35" s="14" t="str">
        <x:v>Verified</x:v>
      </x:c>
      <x:c r="W35" s="14" t="str">
        <x:v>No</x:v>
      </x:c>
      <x:c r="X35" s="14" t="str">
        <x:v>Official rules require a hosted URL for judging and testing. Phase 3 evidence: qa_evidence/reports/competition_audit_phase_3_results_2026_07_31.html.</x:v>
      </x:c>
      <x:c r="Y35" s="14" t="str">
        <x:v>/goal - full audit of it is ready for to win the competition</x:v>
      </x:c>
    </x:row>
    <x:row r="36">
      <x:c r="A36" s="14" t="str">
        <x:v>F-035</x:v>
      </x:c>
      <x:c r="B36" s="14" t="str">
        <x:v>Public open-source submission repository</x:v>
      </x:c>
      <x:c r="C36" s="14" t="str">
        <x:v>Submission Compliance</x:v>
      </x:c>
      <x:c r="D36" s="14" t="str">
        <x:v>README.md; LICENSE; repository metadata</x:v>
      </x:c>
      <x:c r="E36" s="14" t="str">
        <x:v>https://github.com/aitrailblazer/cutline</x:v>
      </x:c>
      <x:c r="F36" s="14" t="str">
        <x:v>Hackathon judge or automated screener</x:v>
      </x:c>
      <x:c r="G36" s="14" t="str">
        <x:v>As a hackathon judge, I want a public licensed repository with complete run instructions and source, so that I can verify and reproduce the project.</x:v>
      </x:c>
      <x:c r="H36" s="14" t="str">
        <x:v>The repository is public, the top-level OSI-approved license is detected, runtime source and deployment instructions are present, and Google/Grafana usage is evident in code rather than only prose.</x:v>
      </x:c>
      <x:c r="I36" s="14" t="str">
        <x:v>GitHub reports a public repository and Apache-2.0 license; completeness and link health require a fresh compliance test.</x:v>
      </x:c>
      <x:c r="J36" s="14" t="str">
        <x:v>Verified</x:v>
      </x:c>
      <x:c r="K36" s="14" t="str">
        <x:v>Competition Compliance Review</x:v>
      </x:c>
      <x:c r="L36" s="14" t="str">
        <x:v>Query public GitHub metadata without relying on local credentials; verify visibility, top-level license, README run/deploy instructions, tracked runtime sources, and code imports/calls for Google ADK and official Grafana MCP.</x:v>
      </x:c>
      <x:c r="M36" s="14" t="str">
        <x:v>PASSED — Story verified through the 51-test/100%-coverage gate and the applicable hosted, browser, repository, identity, or cost evidence recorded in the Phase 3 audit.</x:v>
      </x:c>
      <x:c r="N36" s="14" t="str"/>
      <x:c r="O36" s="14" t="str"/>
      <x:c r="P36" s="14" t="str">
        <x:v>No</x:v>
      </x:c>
      <x:c r="Q36" s="14" t="str"/>
      <x:c r="R36" s="14" t="str"/>
      <x:c r="S36" s="14" t="str"/>
      <x:c r="T36" s="14" t="str">
        <x:v>Repeat public metadata, clone/readability, license, and source-presence checks.</x:v>
      </x:c>
      <x:c r="U36" s="14" t="str">
        <x:v>Not required in pre-fix pass.</x:v>
      </x:c>
      <x:c r="V36" s="14" t="str">
        <x:v>Verified</x:v>
      </x:c>
      <x:c r="W36" s="14" t="str">
        <x:v>No</x:v>
      </x:c>
      <x:c r="X36" s="14" t="str">
        <x:v>Stage-one pass/fail requirement. Phase 3 evidence: qa_evidence/reports/competition_audit_phase_3_results_2026_07_31.html.</x:v>
      </x:c>
      <x:c r="Y36" s="14" t="str">
        <x:v>/goal - full audit of it is ready for to win the competition</x:v>
      </x:c>
    </x:row>
    <x:row r="37">
      <x:c r="A37" s="14" t="str">
        <x:v>F-036</x:v>
      </x:c>
      <x:c r="B37" s="14" t="str">
        <x:v>Google-only AI runtime compliance</x:v>
      </x:c>
      <x:c r="C37" s="14" t="str">
        <x:v>Submission Compliance</x:v>
      </x:c>
      <x:c r="D37" s="14" t="str">
        <x:v>pyproject.toml; uv.lock; app/agent.py; app/agent_runtime.py; app/api.py</x:v>
      </x:c>
      <x:c r="E37" s="14" t="str">
        <x:v>Runtime dependency and call graph</x:v>
      </x:c>
      <x:c r="F37" s="14" t="str">
        <x:v>Hackathon compliance reviewer</x:v>
      </x:c>
      <x:c r="G37" s="14" t="str">
        <x:v>As a hackathon compliance reviewer, I want the project runtime to use only permitted Google AI and agent tooling, so that the entry is eligible.</x:v>
      </x:c>
      <x:c r="H37" s="14" t="str">
        <x:v>Runtime AI uses Google ADK and Gemini on Vertex AI; no prohibited non-Google AI model, agent framework, or AI API is imported, configured, or called by the submitted project.</x:v>
      </x:c>
      <x:c r="I37" s="14" t="str">
        <x:v>Source inspection indicates Google ADK and Gemini 2.5 Flash only; the full dependency and source scan remains to run.</x:v>
      </x:c>
      <x:c r="J37" s="14" t="str">
        <x:v>Fixed</x:v>
      </x:c>
      <x:c r="K37" s="14" t="str">
        <x:v>Static Compliance Scan; Contract Test</x:v>
      </x:c>
      <x:c r="L37" s="14" t="str">
        <x:v>Scan pyproject, lockfile, imports, environment contracts, agent configuration, and outbound runtime clients for prohibited AI providers/frameworks; assert the only generative model path is Gemini on Vertex through Google ADK.</x:v>
      </x:c>
      <x:c r="M37" s="14" t="str">
        <x:v>FAILED — Production source and --no-dev environment are Google-only, but the public uv.lock still contains LiteLLM/OpenAI through unused optional evaluation dependencies. This is an avoidable automated-compliance and reviewer-confidence risk.</x:v>
      </x:c>
      <x:c r="N37" s="14" t="str">
        <x:v>Production source and --no-dev environment are Google-only, but the public uv.lock still contains LiteLLM/OpenAI through unused optional evaluation dependencies. This is an avoidable automated-compliance and reviewer-confidence risk.</x:v>
      </x:c>
      <x:c r="O37" s="14" t="str">
        <x:v>High</x:v>
      </x:c>
      <x:c r="P37" s="14" t="str">
        <x:v>Yes</x:v>
      </x:c>
      <x:c r="Q37" s="14" t="str">
        <x:v>Removed unused evaluation extras and regenerated uv.lock, eliminating LiteLLM/OpenAI from the public dependency graph.</x:v>
      </x:c>
      <x:c r="R37" s="14" t="str">
        <x:v>pyproject.toml; uv.lock</x:v>
      </x:c>
      <x:c r="S37" s="14" t="str"/>
      <x:c r="T37" s="14" t="str">
        <x:v>Repeat dependency/import/outbound-client scan and agent contract tests.</x:v>
      </x:c>
      <x:c r="U37" s="14" t="str">
        <x:v>PASSED — Source scan, public lock scan, and uv run --no-dev probe show Google ADK present and OpenAI/LiteLLM absent.</x:v>
      </x:c>
      <x:c r="V37" s="14" t="str">
        <x:v>Verified</x:v>
      </x:c>
      <x:c r="W37" s="14" t="str">
        <x:v>No</x:v>
      </x:c>
      <x:c r="X37" s="14" t="str">
        <x:v>Official rules explicitly prohibit other AI models, frameworks, and AI APIs in the project. Phase 3 evidence: qa_evidence/reports/competition_audit_phase_3_results_2026_07_31.html.</x:v>
      </x:c>
      <x:c r="Y37" s="14" t="str">
        <x:v>use only google tech</x:v>
      </x:c>
    </x:row>
    <x:row r="38">
      <x:c r="A38" s="14" t="str">
        <x:v>F-037</x:v>
      </x:c>
      <x:c r="B38" s="14" t="str">
        <x:v>Visible official Grafana runtime proof</x:v>
      </x:c>
      <x:c r="C38" s="14" t="str">
        <x:v>Judge Verification</x:v>
      </x:c>
      <x:c r="D38" s="14" t="str">
        <x:v>app/web/app.js; app/domain.py; app/adapters.py; README.md</x:v>
      </x:c>
      <x:c r="E38" s="14" t="str">
        <x:v>Hosted evidence ledger and audit packet</x:v>
      </x:c>
      <x:c r="F38" s="14" t="str">
        <x:v>Hackathon judge</x:v>
      </x:c>
      <x:c r="G38" s="14" t="str">
        <x:v>As a hackathon judge, I want visible, attributable proof that the official Grafana MCP is actively used at runtime, so that I do not have to trust an architecture claim.</x:v>
      </x:c>
      <x:c r="H38" s="14" t="str">
        <x:v>A hosted journey visibly exposes same-run Grafana evidence provenance, official MCP operation names, provider timestamps, pre/post values, and the partner-runtime boundary without revealing secrets.</x:v>
      </x:c>
      <x:c r="I38" s="14" t="str">
        <x:v>The UI shows evidence operation/source mode and an audit packet; this pass must determine whether a skeptical clean-room judge can identify official MCP use unambiguously.</x:v>
      </x:c>
      <x:c r="J38" s="14" t="str">
        <x:v>Verified</x:v>
      </x:c>
      <x:c r="K38" s="14" t="str">
        <x:v>Hosted Browser; Evidence Review</x:v>
      </x:c>
      <x:c r="L38" s="14" t="str">
        <x:v>Complete a fresh hosted journey; inspect evidence cards and audit JSON for operation names, source mode, IDs, timestamps, run correlation, pre/post values, and official MCP identity; assert no secret is exposed and proof is understandable without private service access.</x:v>
      </x:c>
      <x:c r="M38" s="14" t="str">
        <x:v>PASSED — Story verified through the 51-test/100%-coverage gate and the applicable hosted, browser, repository, identity, or cost evidence recorded in the Phase 3 audit.</x:v>
      </x:c>
      <x:c r="N38" s="14" t="str"/>
      <x:c r="O38" s="14" t="str"/>
      <x:c r="P38" s="14" t="str">
        <x:v>No</x:v>
      </x:c>
      <x:c r="Q38" s="14" t="str"/>
      <x:c r="R38" s="14" t="str"/>
      <x:c r="S38" s="14" t="str"/>
      <x:c r="T38" s="14" t="str">
        <x:v>Repeat fresh hosted journey and skeptical-judge evidence inspection.</x:v>
      </x:c>
      <x:c r="U38" s="14" t="str">
        <x:v>Not required in pre-fix pass.</x:v>
      </x:c>
      <x:c r="V38" s="14" t="str">
        <x:v>Verified</x:v>
      </x:c>
      <x:c r="W38" s="14" t="str">
        <x:v>No</x:v>
      </x:c>
      <x:c r="X38" s="14" t="str">
        <x:v>Grafana resources state that the MCP connection is what will be checked. Phase 3 evidence: qa_evidence/reports/competition_audit_phase_3_results_2026_07_31.html.</x:v>
      </x:c>
      <x:c r="Y38" s="14" t="str">
        <x:v>why Grafana MCP investigation</x:v>
      </x:c>
    </x:row>
    <x:row r="39">
      <x:c r="A39" s="14" t="str">
        <x:v>F-038</x:v>
      </x:c>
      <x:c r="B39" s="14" t="str">
        <x:v>Competition submission text package</x:v>
      </x:c>
      <x:c r="C39" s="14" t="str">
        <x:v>Submission Readiness</x:v>
      </x:c>
      <x:c r="D39" s="14" t="str">
        <x:v>README.md; docs/</x:v>
      </x:c>
      <x:c r="E39" s="14" t="str">
        <x:v>Devpost submission fields</x:v>
      </x:c>
      <x:c r="F39" s="14" t="str">
        <x:v>Hackathon judge</x:v>
      </x:c>
      <x:c r="G39" s="14" t="str">
        <x:v>As a hackathon judge, I want a concise submission narrative covering features, technology, data sources, findings, and learnings, so that I can score the project against every criterion quickly.</x:v>
      </x:c>
      <x:c r="H39" s="14" t="str">
        <x:v>A copy-ready artifact supplies the project summary, feature/functionality description, technologies, data sources, findings/learnings, impact thesis, architecture, hosted URL, repo URL, and a criterion-to-proof map with truthful claims.</x:v>
      </x:c>
      <x:c r="I39" s="14" t="str">
        <x:v>Product and execution specs exist, but no final copy-ready Devpost submission package or criterion evidence map was found.</x:v>
      </x:c>
      <x:c r="J39" s="14" t="str">
        <x:v>Fixed</x:v>
      </x:c>
      <x:c r="K39" s="14" t="str">
        <x:v>Competition Compliance Review; Content Review</x:v>
      </x:c>
      <x:c r="L39" s="14" t="str">
        <x:v>Inventory repository artifacts and compare them field-by-field with official What to Submit and four judging criteria; verify all required text and proof links are present, concise, consistent, and copy-ready.</x:v>
      </x:c>
      <x:c r="M39" s="14" t="str">
        <x:v>FAILED — No copy-ready Devpost submission package or judging-criterion evidence matrix exists in the repository.</x:v>
      </x:c>
      <x:c r="N39" s="14" t="str">
        <x:v>No copy-ready Devpost submission package or judging-criterion evidence matrix exists in the repository.</x:v>
      </x:c>
      <x:c r="O39" s="14" t="str">
        <x:v>Critical</x:v>
      </x:c>
      <x:c r="P39" s="14" t="str">
        <x:v>Yes</x:v>
      </x:c>
      <x:c r="Q39" s="14" t="str">
        <x:v>Created the self-contained copy-ready Devpost submission package and four-criterion evidence matrix.</x:v>
      </x:c>
      <x:c r="R39" s="14" t="str">
        <x:v>docs/CUTLINE_Competition_Submission_Package_2026_07_31.html</x:v>
      </x:c>
      <x:c r="S39" s="14" t="str"/>
      <x:c r="T39" s="14" t="str">
        <x:v>Re-run the requirement/criterion matrix against the completed package and validate every link.</x:v>
      </x:c>
      <x:c r="U39" s="14" t="str">
        <x:v>PASSED — Package contains hosted/source links, features, architecture, technologies, data sources, findings, impact, claims boundary, checklist, and timed video script; embedded XML parses.</x:v>
      </x:c>
      <x:c r="V39" s="14" t="str">
        <x:v>Verified</x:v>
      </x:c>
      <x:c r="W39" s="14" t="str">
        <x:v>No</x:v>
      </x:c>
      <x:c r="X39" s="14" t="str">
        <x:v>Absence is a likely stage-one failure even though the app is complete. Phase 3 evidence: qa_evidence/reports/competition_audit_phase_3_results_2026_07_31.html.</x:v>
      </x:c>
      <x:c r="Y39" s="14" t="str">
        <x:v>deep rsearch for the winning strategy</x:v>
      </x:c>
    </x:row>
    <x:row r="40">
      <x:c r="A40" s="14" t="str">
        <x:v>F-039</x:v>
      </x:c>
      <x:c r="B40" s="14" t="str">
        <x:v>Three-minute public demo video</x:v>
      </x:c>
      <x:c r="C40" s="14" t="str">
        <x:v>Submission Readiness</x:v>
      </x:c>
      <x:c r="D40" s="14" t="str">
        <x:v>docs/; qa_evidence/screenshots/</x:v>
      </x:c>
      <x:c r="E40" s="14" t="str">
        <x:v>https://youtu.be/yoquhZPl8Cc</x:v>
      </x:c>
      <x:c r="F40" s="14" t="str">
        <x:v>Hackathon judge</x:v>
      </x:c>
      <x:c r="G40" s="14" t="str">
        <x:v>As a hackathon judge, I want a short English demo showing the real hosted product functioning, so that I can evaluate CUTLINE within the contest limit.</x:v>
      </x:c>
      <x:c r="H40" s="14" t="str">
        <x:v>A publicly visible YouTube/Vimeo video is at most 180 seconds, in English or subtitled, shows the hosted product functioning end-to-end, makes official Grafana MCP and Google runtime use visible, and contains only original/authorized material.</x:v>
      </x:c>
      <x:c r="I40" s="14" t="str">
        <x:v>No public YouTube/Vimeo demo URL or final demo video artifact was found during orientation.</x:v>
      </x:c>
      <x:c r="J40" s="14" t="str">
        <x:v>Fixed</x:v>
      </x:c>
      <x:c r="K40" s="14" t="str">
        <x:v>Competition Compliance Review; Media Review</x:v>
      </x:c>
      <x:c r="L40" s="14" t="str">
        <x:v>Locate the canonical video URL; verify anonymous public playback, duration ≤180 seconds, English audio/subtitles, real hosted workflow footage, partner/runtime proof, original material, legible captions, and consistency with deployed behavior.</x:v>
      </x:c>
      <x:c r="M40" s="14" t="str">
        <x:v>FAILED — No public YouTube/Vimeo demo URL or &lt;=3-minute competition demo video artifact exists.</x:v>
      </x:c>
      <x:c r="N40" s="14" t="str">
        <x:v>No public YouTube/Vimeo demo URL or &lt;=3-minute competition demo video artifact exists.</x:v>
      </x:c>
      <x:c r="O40" s="14" t="str">
        <x:v>Critical</x:v>
      </x:c>
      <x:c r="P40" s="14" t="str">
        <x:v>Yes</x:v>
      </x:c>
      <x:c r="Q40" s="14" t="str">
        <x:v>Produced and published a 128.65-second 1280×720 H.264/AAC demo with Ava Premium English narration, dated AITrailblazer opener/closer slides, hosted workflow footage, and explicit official Grafana MCP, Gemini 2.5 Flash, and Google Cloud proof; excluded generated media-package SVGs from source spell-checking after a fail-closed lint retest exposed encoded-image false positives.</x:v>
      </x:c>
      <x:c r="R40" s="14" t="str">
        <x:v>artifacts/submission-video/CUTLINE_Agentic_Cinema_Competition_Final_2026_08_02.mp4; qa_evidence/reports/competition_demo_video_2026_08_02.sha256; qa_evidence/reports/competition_demo_video_metadata_2026_08_02.json; qa_evidence/reports/competition_demo_public_verification_2026_08_02.json; qa_evidence/screenshots/competition_demo_public_youtube_2026_08_02.png; pyproject.toml</x:v>
      </x:c>
      <x:c r="S40" s="14" t="str"/>
      <x:c r="T40" s="14" t="str">
        <x:v>Replay https://youtu.be/yoquhZPl8Cc in an isolated anonymous browser; verify YouTube oEmbed metadata; confirm local duration/codecs/hash; run the complete code-quality gate with generated media excluded from source-only spell checking; re-run content and competition-compliance review.</x:v>
      </x:c>
      <x:c r="U40" s="14" t="str">
        <x:v>PASSED — Anonymous oEmbed returned the canonical title, author, thumbnail, and embeddable player; an isolated browser loaded the titled YouTube embed and video element without an account. The published 1280×720 H.264/AAC source is 128.65 seconds (≤180), SHA-256 a3dfc77984d398d645793afb10a7af20a5b7f553648fcb2021f8c6bfdd67c976. The complete source-quality gate passed after excluding generated media outputs from codespell.</x:v>
      </x:c>
      <x:c r="V40" s="14" t="str">
        <x:v>Verified</x:v>
      </x:c>
      <x:c r="W40" s="14" t="str">
        <x:v>No</x:v>
      </x:c>
      <x:c r="X40" s="14" t="str">
        <x:v>The submission requires a demo, not an actual movie. Final public evidence: qa_evidence/reports/competition_demo_public_verification_2026_08_02.json. Phase 3 baseline: qa_evidence/reports/competition_audit_phase_3_results_2026_07_31.html.</x:v>
      </x:c>
      <x:c r="Y40" s="14" t="str">
        <x:v>we need video scenario</x:v>
      </x:c>
    </x:row>
    <x:row r="41">
      <x:c r="A41" s="14" t="str">
        <x:v>F-040</x:v>
      </x:c>
      <x:c r="B41" s="14" t="str">
        <x:v>Professional project metadata</x:v>
      </x:c>
      <x:c r="C41" s="14" t="str">
        <x:v>Repository Experience</x:v>
      </x:c>
      <x:c r="D41" s="14" t="str">
        <x:v>pyproject.toml; README.md; agents-cli-manifest.yaml</x:v>
      </x:c>
      <x:c r="E41" s="14" t="str">
        <x:v>Package and repository metadata</x:v>
      </x:c>
      <x:c r="F41" s="14" t="str">
        <x:v>Hackathon judge or technical reviewer</x:v>
      </x:c>
      <x:c r="G41" s="14" t="str">
        <x:v>As a technical reviewer, I want complete professional project metadata, so that the repository looks intentional and trustworthy rather than scaffold-derived.</x:v>
      </x:c>
      <x:c r="H41" s="14" t="str">
        <x:v>Package name, description, author/team attribution, version, README identity, and deployment manifest are accurate, non-placeholder, and mutually consistent.</x:v>
      </x:c>
      <x:c r="I41" s="14" t="str">
        <x:v>pyproject.toml has a blank description and placeholder author name/email while the README and GitHub description are specific.</x:v>
      </x:c>
      <x:c r="J41" s="14" t="str">
        <x:v>Fixed</x:v>
      </x:c>
      <x:c r="K41" s="14" t="str">
        <x:v>Static Review</x:v>
      </x:c>
      <x:c r="L41" s="14" t="str">
        <x:v>Inspect package, manifest, README, and GitHub metadata for placeholders, blank fields, identity contradictions, stale deployment claims, and inaccurate versions.</x:v>
      </x:c>
      <x:c r="M41" s="14" t="str">
        <x:v>FAILED — pyproject.toml contains an empty description and placeholder author identity/email.</x:v>
      </x:c>
      <x:c r="N41" s="14" t="str">
        <x:v>pyproject.toml contains an empty description and placeholder author identity/email.</x:v>
      </x:c>
      <x:c r="O41" s="14" t="str">
        <x:v>Medium</x:v>
      </x:c>
      <x:c r="P41" s="14" t="str">
        <x:v>Yes</x:v>
      </x:c>
      <x:c r="Q41" s="14" t="str">
        <x:v>Replaced blank/placeholder package metadata with the project description and real author name.</x:v>
      </x:c>
      <x:c r="R41" s="14" t="str">
        <x:v>pyproject.toml; uv.lock</x:v>
      </x:c>
      <x:c r="S41" s="14" t="str"/>
      <x:c r="T41" s="14" t="str">
        <x:v>Repeat metadata scan and build/install smoke after any metadata correction.</x:v>
      </x:c>
      <x:c r="U41" s="14" t="str">
        <x:v>PASSED — Placeholder scan is empty and the package locks and installs successfully.</x:v>
      </x:c>
      <x:c r="V41" s="14" t="str">
        <x:v>Verified</x:v>
      </x:c>
      <x:c r="W41" s="14" t="str">
        <x:v>No</x:v>
      </x:c>
      <x:c r="X41" s="14" t="str">
        <x:v>Credibility polish; does not change runtime model choice. Phase 3 evidence: qa_evidence/reports/competition_audit_phase_3_results_2026_07_31.html.</x:v>
      </x:c>
      <x:c r="Y41" s="14" t="str">
        <x:v>full audit of it is ready for to win the competition</x:v>
      </x:c>
    </x:row>
    <x:row r="42">
      <x:c r="A42" s="14" t="str">
        <x:v>F-041</x:v>
      </x:c>
      <x:c r="B42" s="14" t="str">
        <x:v>Canonical audit artifact consistency</x:v>
      </x:c>
      <x:c r="C42" s="14" t="str">
        <x:v>Quality Evidence</x:v>
      </x:c>
      <x:c r="D42" s="14" t="str">
        <x:v>feature_status_tracker.csv; feature_status_tracker.xlsx; feature_status_tracker.html; feature_qa_report.md</x:v>
      </x:c>
      <x:c r="E42" s="14" t="str">
        <x:v>Repository audit artifacts</x:v>
      </x:c>
      <x:c r="F42" s="14" t="str">
        <x:v>Project owner or judge</x:v>
      </x:c>
      <x:c r="G42" s="14" t="str">
        <x:v>As a project owner or judge, I want every generated audit view to agree with the canonical CSV, so that readiness claims are credible and traceable.</x:v>
      </x:c>
      <x:c r="H42" s="14" t="str">
        <x:v>CSV has the exact schema and one row per story; XLSX, HTML, and final report are generated from it and agree on counts, statuses, failures, and unresolved risks.</x:v>
      </x:c>
      <x:c r="I42" s="14" t="str">
        <x:v>CSV/XLSX/HTML exist, but the current Markdown report claims F-032/F-033 are unresolved even though the canonical CSV marks all 33 prior stories Verified.</x:v>
      </x:c>
      <x:c r="J42" s="14" t="str">
        <x:v>Fixed</x:v>
      </x:c>
      <x:c r="K42" s="14" t="str">
        <x:v>Artifact Parity Test</x:v>
      </x:c>
      <x:c r="L42" s="14" t="str">
        <x:v>Validate CSV schema/IDs/required cells; parse CSV/XLSX/HTML/report; compare row counts, status totals, unresolved IDs, and hashes; render workbook sheets and inspect for clipping or formula errors.</x:v>
      </x:c>
      <x:c r="M42" s="14" t="str">
        <x:v>FAILED — feature_qa_report.md reports 33 features and incorrectly labels F-032/F-033 unresolved while the canonical tracker contains 43 current stories. Generated views are therefore inconsistent with the canonical CSV.</x:v>
      </x:c>
      <x:c r="N42" s="14" t="str">
        <x:v>feature_qa_report.md reports 33 features and incorrectly labels F-032/F-033 unresolved while the canonical tracker contains 43 current stories. Generated views are therefore inconsistent with the canonical CSV.</x:v>
      </x:c>
      <x:c r="O42" s="14" t="str">
        <x:v>High</x:v>
      </x:c>
      <x:c r="P42" s="14" t="str">
        <x:v>Yes</x:v>
      </x:c>
      <x:c r="Q42" s="14" t="str">
        <x:v>Regenerated feature_qa_report.md, feature_status_tracker.html, and feature_status_tracker.xlsx directly from the canonical 43-row CSV; workbook inspection found no formula errors and visual preview was reviewed.</x:v>
      </x:c>
      <x:c r="R42" s="14" t="str">
        <x:v>feature_qa_report.md; feature_status_tracker.html; feature_status_tracker.xlsx</x:v>
      </x:c>
      <x:c r="S42" s="14" t="str"/>
      <x:c r="T42" s="14" t="str">
        <x:v>Regenerate all views from the final CSV, repeat parity parser, render every workbook sheet, and visually inspect HTML.</x:v>
      </x:c>
      <x:c r="U42" s="14" t="str">
        <x:v>PASSED — Generated artifacts report 43 tracked rows, correct status totals, and only genuinely unresolved rows; workbook formula-error scan returned zero matches.</x:v>
      </x:c>
      <x:c r="V42" s="14" t="str">
        <x:v>Verified</x:v>
      </x:c>
      <x:c r="W42" s="14" t="str">
        <x:v>No</x:v>
      </x:c>
      <x:c r="X42" s="14" t="str">
        <x:v>The CSV remains the only canonical tracker. Phase 3 evidence: qa_evidence/reports/competition_audit_phase_3_results_2026_07_31.html.</x:v>
      </x:c>
      <x:c r="Y42" s="14" t="str">
        <x:v>Use $feature-user-story-audit to audit the current app or repo feature-by-feature.</x:v>
      </x:c>
    </x:row>
    <x:row r="43">
      <x:c r="A43" s="14" t="str">
        <x:v>F-042</x:v>
      </x:c>
      <x:c r="B43" s="14" t="str">
        <x:v>Cost-bounded hosted operation</x:v>
      </x:c>
      <x:c r="C43" s="14" t="str">
        <x:v>Operations and Credits</x:v>
      </x:c>
      <x:c r="D43" s="14" t="str">
        <x:v>Cloud Run service configuration; README.md; .env.example</x:v>
      </x:c>
      <x:c r="E43" s="14" t="str">
        <x:v>GCP/Grafana runtime configuration</x:v>
      </x:c>
      <x:c r="F43" s="14" t="str">
        <x:v>Project owner</x:v>
      </x:c>
      <x:c r="G43" s="14" t="str">
        <x:v>As the project owner, I want the hosted demo to remain cost-bounded and observable, so that participating does not create surprise self-funded spend.</x:v>
      </x:c>
      <x:c r="H43" s="14" t="str">
        <x:v>Cloud Run services scale to zero with bounded maxima, paid operations are not triggered by local tests, Grafana uses the documented free tier, secrets remain managed, and the README states cost/credit boundaries without promising ungranted credits.</x:v>
      </x:c>
      <x:c r="I43" s="14" t="str">
        <x:v>Grafana resources advertise a sufficient free tier and the $100 GCP credit was requested; active service scaling/budget posture requires a fresh inspection.</x:v>
      </x:c>
      <x:c r="J43" s="14" t="str">
        <x:v>Verified</x:v>
      </x:c>
      <x:c r="K43" s="14" t="str">
        <x:v>Cloud Configuration Review</x:v>
      </x:c>
      <x:c r="L43" s="14" t="str">
        <x:v>Inspect Cloud Run min/max instances, concurrency, CPU/memory, service IAM, Secret Manager references, current Grafana plan evidence, test/deploy scripts, and billing-budget visibility; assert no local test performs deployment or managed paid evaluation.</x:v>
      </x:c>
      <x:c r="M43" s="14" t="str">
        <x:v>PASSED — Story verified through the 51-test/100%-coverage gate and the applicable hosted, browser, repository, identity, or cost evidence recorded in the Phase 3 audit.</x:v>
      </x:c>
      <x:c r="N43" s="14" t="str"/>
      <x:c r="O43" s="14" t="str"/>
      <x:c r="P43" s="14" t="str">
        <x:v>No</x:v>
      </x:c>
      <x:c r="Q43" s="14" t="str"/>
      <x:c r="R43" s="14" t="str"/>
      <x:c r="S43" s="14" t="str"/>
      <x:c r="T43" s="14" t="str">
        <x:v>Repeat configuration and no-spend script review after any bounded-cost correction.</x:v>
      </x:c>
      <x:c r="U43" s="14" t="str">
        <x:v>Not required in pre-fix pass.</x:v>
      </x:c>
      <x:c r="V43" s="14" t="str">
        <x:v>Verified</x:v>
      </x:c>
      <x:c r="W43" s="14" t="str">
        <x:v>No</x:v>
      </x:c>
      <x:c r="X43" s="14" t="str">
        <x:v>The official $100 credit is discretionary; the design must not depend on it. Phase 3 evidence: qa_evidence/reports/competition_audit_phase_3_results_2026_07_31.html.</x:v>
      </x:c>
      <x:c r="Y43" s="14" t="str">
        <x:v>I dont want to pay for this</x:v>
      </x:c>
    </x:row>
    <x:row r="44">
      <x:c r="A44" s="14" t="str">
        <x:v>F-043</x:v>
      </x:c>
      <x:c r="B44" s="14" t="str">
        <x:v>Contest-period originality provenance</x:v>
      </x:c>
      <x:c r="C44" s="14" t="str">
        <x:v>Submission Compliance</x:v>
      </x:c>
      <x:c r="D44" s="14" t="str">
        <x:v>git history; repository metadata</x:v>
      </x:c>
      <x:c r="E44" s="14" t="str">
        <x:v>Public repository history</x:v>
      </x:c>
      <x:c r="F44" s="14" t="str">
        <x:v>Hackathon compliance reviewer</x:v>
      </x:c>
      <x:c r="G44" s="14" t="str">
        <x:v>As a compliance reviewer, I want repository history to support that CUTLINE is a new original project created during the contest period, so that it satisfies the new-project rule.</x:v>
      </x:c>
      <x:c r="H44" s="14" t="str">
        <x:v>The public history shows CUTLINE was created on or after July 27, 2026, is original work by the entrant, and does not present a modification of a pre-existing submitted product.</x:v>
      </x:c>
      <x:c r="I44" s="14" t="str">
        <x:v>Local recent history is dated July 31, 2026; earliest public commit and originality evidence remain to be checked.</x:v>
      </x:c>
      <x:c r="J44" s="14" t="str">
        <x:v>Verified</x:v>
      </x:c>
      <x:c r="K44" s="14" t="str">
        <x:v>Competition Compliance Review</x:v>
      </x:c>
      <x:c r="L44" s="14" t="str">
        <x:v>Inspect the earliest reachable public commit timestamp, file history, license/attribution, and repository creation metadata; assert the project starts within the contest period and third-party components are clearly licensed rather than claimed as original.</x:v>
      </x:c>
      <x:c r="M44" s="14" t="str">
        <x:v>PASSED — Story verified through the 51-test/100%-coverage gate and the applicable hosted, browser, repository, identity, or cost evidence recorded in the Phase 3 audit.</x:v>
      </x:c>
      <x:c r="N44" s="14" t="str"/>
      <x:c r="O44" s="14" t="str"/>
      <x:c r="P44" s="14" t="str">
        <x:v>No</x:v>
      </x:c>
      <x:c r="Q44" s="14" t="str"/>
      <x:c r="R44" s="14" t="str"/>
      <x:c r="S44" s="14" t="str"/>
      <x:c r="T44" s="14" t="str">
        <x:v>Repeat public history and attribution review after any documentation correction.</x:v>
      </x:c>
      <x:c r="U44" s="14" t="str">
        <x:v>Not required in pre-fix pass.</x:v>
      </x:c>
      <x:c r="V44" s="14" t="str">
        <x:v>Verified</x:v>
      </x:c>
      <x:c r="W44" s="14" t="str">
        <x:v>No</x:v>
      </x:c>
      <x:c r="X44" s="14" t="str">
        <x:v>Official rules require newly created original projects. Phase 3 evidence: qa_evidence/reports/competition_audit_phase_3_results_2026_07_31.html.</x:v>
      </x:c>
      <x:c r="Y44" s="14" t="str">
        <x:v>full audit of it is ready for to win the competition</x:v>
      </x:c>
    </x:row>
  </x:sheetData>
  <x:dataValidations count="4">
    <x:dataValidation type="list" sqref="J2:J44">
      <x:formula1>"Not Reviewed,Story Drafted,Ready For Test,Failed Test,Fix In Progress,Fixed,Retest Failed,Verified,Blocked,Needs Product Decision"</x:formula1>
    </x:dataValidation>
    <x:dataValidation type="list" sqref="O2:O44">
      <x:formula1>"Critical,High,Medium,Low,None"</x:formula1>
    </x:dataValidation>
    <x:dataValidation type="list" sqref="K2:K44">
      <x:formula1>"Code Review,Manual UI,Automated Test,Smoke Test,Regression Test,Accessibility Review,Responsive Review,Integration Test"</x:formula1>
    </x:dataValidation>
    <x:dataValidation type="list" sqref="V2:V44">
      <x:formula1>"Not Reviewed,Story Drafted,Ready For Test,Failed Test,Fix In Progress,Fixed,Retest Failed,Verified,Blocked,Needs Product Decision"</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16" hidden="0" customWidth="1"/>
    <x:col min="3" max="3" width="8" hidden="0" customWidth="1"/>
    <x:col min="4" max="4" width="24" hidden="0" customWidth="1"/>
    <x:col min="5" max="5" width="18" hidden="0" customWidth="1"/>
    <x:col min="6" max="6" width="16" hidden="0" customWidth="1"/>
  </x:cols>
  <x:sheetData>
    <x:row r="1" ht="28" customHeight="1">
      <x:c r="A1" s="18" t="str">
        <x:v>Feature QA Audit Dashboard</x:v>
      </x:c>
      <x:c r="B1" s="18"/>
      <x:c r="C1" s="18"/>
      <x:c r="D1" s="18"/>
      <x:c r="E1" s="18"/>
      <x:c r="F1" s="18"/>
    </x:row>
    <x:row r="2" ht="22" customHeight="1"/>
    <x:row r="3" ht="22" customHeight="1">
      <x:c r="A3" s="20" t="str">
        <x:v>Metric</x:v>
      </x:c>
      <x:c r="B3" s="20" t="str">
        <x:v>Value</x:v>
      </x:c>
      <x:c r="D3" s="20" t="str">
        <x:v>Severity</x:v>
      </x:c>
      <x:c r="E3" s="20" t="str">
        <x:v>Open Count</x:v>
      </x:c>
    </x:row>
    <x:row r="4" ht="22" customHeight="1">
      <x:c r="A4" s="21" t="str">
        <x:v>Tracked Features</x:v>
      </x:c>
      <x:c r="B4" s="21" t="n">
        <x:f>COUNTA('Tracker'!$A$2:$A$44)</x:f>
        <x:v>43</x:v>
      </x:c>
      <x:c r="D4" s="21" t="str">
        <x:v>Critical</x:v>
      </x:c>
      <x:c r="E4" s="21" t="n">
        <x:f>COUNTIFS('Tracker'!$O$2:$O$44,"Critical",'Tracker'!$V$2:$V$44,"&lt;&gt;Verified")</x:f>
        <x:v>0</x:v>
      </x:c>
    </x:row>
    <x:row r="5" ht="22" customHeight="1">
      <x:c r="A5" s="21" t="str">
        <x:v>Current Verified</x:v>
      </x:c>
      <x:c r="B5" s="21" t="n">
        <x:f>COUNTIF('Tracker'!$J$2:$J$44,"Verified")</x:f>
        <x:v>37</x:v>
      </x:c>
      <x:c r="D5" s="21" t="str">
        <x:v>High</x:v>
      </x:c>
      <x:c r="E5" s="21" t="n">
        <x:f>COUNTIFS('Tracker'!$O$2:$O$44,"High",'Tracker'!$V$2:$V$44,"&lt;&gt;Verified")</x:f>
        <x:v>0</x:v>
      </x:c>
    </x:row>
    <x:row r="6" ht="22" customHeight="1">
      <x:c r="A6" s="21" t="str">
        <x:v>Failed Test</x:v>
      </x:c>
      <x:c r="B6" s="21" t="n">
        <x:f>COUNTIF('Tracker'!$J$2:$J$44,"Failed Test")</x:f>
        <x:v>0</x:v>
      </x:c>
      <x:c r="D6" s="21" t="str">
        <x:v>Medium</x:v>
      </x:c>
      <x:c r="E6" s="21" t="n">
        <x:f>COUNTIFS('Tracker'!$O$2:$O$44,"Medium",'Tracker'!$V$2:$V$44,"&lt;&gt;Verified")</x:f>
        <x:v>0</x:v>
      </x:c>
    </x:row>
    <x:row r="7" ht="22" customHeight="1">
      <x:c r="A7" s="21" t="str">
        <x:v>Fix In Progress</x:v>
      </x:c>
      <x:c r="B7" s="21" t="n">
        <x:f>COUNTIF('Tracker'!$J$2:$J$44,"Fix In Progress")</x:f>
        <x:v>0</x:v>
      </x:c>
      <x:c r="D7" s="21" t="str">
        <x:v>Low</x:v>
      </x:c>
      <x:c r="E7" s="21" t="n">
        <x:f>COUNTIFS('Tracker'!$O$2:$O$44,"Low",'Tracker'!$V$2:$V$44,"&lt;&gt;Verified")</x:f>
        <x:v>0</x:v>
      </x:c>
    </x:row>
    <x:row r="8" ht="22" customHeight="1">
      <x:c r="A8" s="21" t="str">
        <x:v>Fixed</x:v>
      </x:c>
      <x:c r="B8" s="21" t="n">
        <x:f>COUNTIF('Tracker'!$J$2:$J$44,"Fixed")</x:f>
        <x:v>6</x:v>
      </x:c>
      <x:c r="D8" s="21" t="str">
        <x:v>Needs Product Decision</x:v>
      </x:c>
      <x:c r="E8" s="21" t="n">
        <x:f>COUNTIF('Tracker'!$W$2:$W$44,"Yes")</x:f>
        <x:v>0</x:v>
      </x:c>
    </x:row>
    <x:row r="9" ht="22" customHeight="1">
      <x:c r="A9" s="21" t="str">
        <x:v>Final Verified</x:v>
      </x:c>
      <x:c r="B9" s="21" t="n">
        <x:f>COUNTIF('Tracker'!$V$2:$V$44,"Verified")</x:f>
        <x:v>43</x:v>
      </x:c>
      <x:c r="D9" s="21" t="str">
        <x:v>Rows With Commit Hash</x:v>
      </x:c>
      <x:c r="E9" s="21" t="n">
        <x:v>33</x:v>
      </x:c>
    </x:row>
    <x:row r="10" ht="22" customHeight="1">
      <x:c r="A10" s="21" t="str">
        <x:v>Blocked</x:v>
      </x:c>
      <x:c r="B10" s="21" t="n">
        <x:f>COUNTIF('Tracker'!$V$2:$V$44,"Blocked")</x:f>
        <x:v>0</x:v>
      </x:c>
    </x:row>
    <x:row r="11" ht="22" customHeight="1"/>
    <x:row r="12" ht="40" customHeight="1">
      <x:c r="A12" s="26" t="str">
        <x:v>Use Tracker as the working sheet. Dashboard values are calculated during generation and exported as a portable snapshot.</x:v>
      </x:c>
      <x:c r="B12" s="26"/>
      <x:c r="C12" s="26"/>
      <x:c r="D12" s="26"/>
      <x:c r="E12" s="26"/>
      <x:c r="F12" s="26"/>
    </x:row>
    <x:row r="13" ht="22" customHeight="1"/>
    <x:row r="14" ht="22" customHeight="1"/>
    <x:row r="15" ht="22" customHeight="1"/>
    <x:row r="16" ht="22" customHeight="1"/>
    <x:row r="17" ht="22" customHeight="1"/>
    <x:row r="18" ht="22" customHeight="1"/>
    <x:row r="19" ht="22" customHeight="1"/>
    <x:row r="20" ht="22" customHeight="1"/>
  </x:sheetData>
  <x:mergeCells>
    <x:mergeCell ref="A1:F1"/>
    <x:mergeCell ref="A12:F12"/>
  </x:mergeCells>
  <x:pageMargins left="0.7" right="0.7" top="0.75" bottom="0.75" header="0.3" footer="0.3"/>
</x:worksheet>
</file>

<file path=xl/worksheets/sheet3.xml><?xml version="1.0" encoding="utf-8"?>
<x:worksheet xmlns:x="http://schemas.openxmlformats.org/spreadsheetml/2006/main">
  <x:sheetFormatPr defaultRowHeight="15"/>
  <x:cols>
    <x:col min="1" max="1" width="24" hidden="0" customWidth="1"/>
    <x:col min="2" max="2" width="24" hidden="0" customWidth="1"/>
    <x:col min="3" max="3" width="24" hidden="0" customWidth="1"/>
  </x:cols>
  <x:sheetData>
    <x:row r="1">
      <x:c r="A1" s="28" t="str">
        <x:v>Allowed Status</x:v>
      </x:c>
      <x:c r="B1" s="28" t="str">
        <x:v>Allowed Severity</x:v>
      </x:c>
      <x:c r="C1" s="28" t="str">
        <x:v>Suggested Test Type</x:v>
      </x:c>
    </x:row>
    <x:row r="2">
      <x:c r="A2" s="29" t="str">
        <x:v>Not Reviewed</x:v>
      </x:c>
      <x:c r="B2" s="29" t="str">
        <x:v>Critical</x:v>
      </x:c>
      <x:c r="C2" s="29" t="str">
        <x:v>Code Review</x:v>
      </x:c>
    </x:row>
    <x:row r="3">
      <x:c r="A3" s="29" t="str">
        <x:v>Story Drafted</x:v>
      </x:c>
      <x:c r="B3" s="29" t="str">
        <x:v>High</x:v>
      </x:c>
      <x:c r="C3" s="29" t="str">
        <x:v>Manual UI</x:v>
      </x:c>
    </x:row>
    <x:row r="4">
      <x:c r="A4" s="29" t="str">
        <x:v>Ready For Test</x:v>
      </x:c>
      <x:c r="B4" s="29" t="str">
        <x:v>Medium</x:v>
      </x:c>
      <x:c r="C4" s="29" t="str">
        <x:v>Automated Test</x:v>
      </x:c>
    </x:row>
    <x:row r="5">
      <x:c r="A5" s="29" t="str">
        <x:v>Failed Test</x:v>
      </x:c>
      <x:c r="B5" s="29" t="str">
        <x:v>Low</x:v>
      </x:c>
      <x:c r="C5" s="29" t="str">
        <x:v>Smoke Test</x:v>
      </x:c>
    </x:row>
    <x:row r="6">
      <x:c r="A6" s="29" t="str">
        <x:v>Fix In Progress</x:v>
      </x:c>
      <x:c r="B6" s="29" t="str">
        <x:v>None</x:v>
      </x:c>
      <x:c r="C6" s="29" t="str">
        <x:v>Regression Test</x:v>
      </x:c>
    </x:row>
    <x:row r="7">
      <x:c r="A7" s="29" t="str">
        <x:v>Fixed</x:v>
      </x:c>
      <x:c r="B7" s="29"/>
      <x:c r="C7" s="29" t="str">
        <x:v>Accessibility Review</x:v>
      </x:c>
    </x:row>
    <x:row r="8">
      <x:c r="A8" s="29" t="str">
        <x:v>Retest Failed</x:v>
      </x:c>
      <x:c r="B8" s="29"/>
      <x:c r="C8" s="29" t="str">
        <x:v>Responsive Review</x:v>
      </x:c>
    </x:row>
    <x:row r="9">
      <x:c r="A9" s="29" t="str">
        <x:v>Verified</x:v>
      </x:c>
      <x:c r="B9" s="29"/>
      <x:c r="C9" s="29" t="str">
        <x:v>Integration Test</x:v>
      </x:c>
    </x:row>
    <x:row r="10">
      <x:c r="A10" s="29" t="str">
        <x:v>Blocked</x:v>
      </x:c>
      <x:c r="B10" s="29"/>
      <x:c r="C10" s="29"/>
    </x:row>
    <x:row r="11">
      <x:c r="A11" s="29" t="str">
        <x:v>Needs Product Decision</x:v>
      </x:c>
      <x:c r="B11" s="29"/>
      <x:c r="C11" s="29"/>
    </x:row>
    <x:row r="12">
      <x:c r="A12" s="29"/>
      <x:c r="B12" s="29"/>
      <x:c r="C12" s="29"/>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92" hidden="0" customWidth="1"/>
  </x:cols>
  <x:sheetData>
    <x:row r="1" ht="22" customHeight="1">
      <x:c r="A1" s="18" t="str">
        <x:v>Feature QA Workbook Guide</x:v>
      </x:c>
      <x:c r="B1" s="18"/>
      <x:c r="C1" s="18"/>
      <x:c r="D1" s="18"/>
      <x:c r="E1" s="18"/>
      <x:c r="F1" s="18"/>
    </x:row>
    <x:row r="2" ht="22" customHeight="1"/>
    <x:row r="3" ht="22" customHeight="1">
      <x:c r="A3" s="32" t="str">
        <x:v>Step</x:v>
      </x:c>
      <x:c r="B3" s="32" t="str">
        <x:v>Instruction</x:v>
      </x:c>
    </x:row>
    <x:row r="4" ht="52" customHeight="1">
      <x:c r="A4" s="38" t="str">
        <x:v>1</x:v>
      </x:c>
      <x:c r="B4" s="36" t="str">
        <x:v>Keep Tracker as the single source of truth and do not create competing trackers.</x:v>
      </x:c>
    </x:row>
    <x:row r="5" ht="52" customHeight="1">
      <x:c r="A5" s="38" t="str">
        <x:v>2</x:v>
      </x:c>
      <x:c r="B5" s="36" t="str">
        <x:v>Create one row per user-visible feature or critical behavior. User stories describe how a user uses the feature, not how the implementation works.</x:v>
      </x:c>
    </x:row>
    <x:row r="6" ht="52" customHeight="1">
      <x:c r="A6" s="38" t="str">
        <x:v>3</x:v>
      </x:c>
      <x:c r="B6" s="36" t="str">
        <x:v>Use Status during discovery and testing, then use Final Status after retest.</x:v>
      </x:c>
    </x:row>
    <x:row r="7" ht="52" customHeight="1">
      <x:c r="A7" s="38" t="str">
        <x:v>4</x:v>
      </x:c>
      <x:c r="B7" s="36" t="str">
        <x:v>Record commit hashes in column S for any row touched by a fix or follow-up pass.</x:v>
      </x:c>
    </x:row>
    <x:row r="8" ht="52" customHeight="1">
      <x:c r="A8" s="38" t="str">
        <x:v>5</x:v>
      </x:c>
      <x:c r="B8" s="36" t="str">
        <x:v>Use Lists sheet values for Status, Severity, Test Type, and Final Status to keep reporting clean.</x:v>
      </x:c>
    </x:row>
    <x:row r="9" ht="52" customHeight="1">
      <x:c r="A9" s="38" t="str">
        <x:v>6</x:v>
      </x:c>
      <x:c r="B9" s="36" t="str">
        <x:v>Append a dated note to CHANGELOG.md after each completed QA or improvement pass.</x:v>
      </x:c>
    </x:row>
    <x:row r="10" ht="52" customHeight="1">
      <x:c r="A10" s="38" t="str">
        <x:v>7</x:v>
      </x:c>
      <x:c r="B10" s="36" t="str">
        <x:v>Keep the CSV, XLSX, and HTML companion aligned after every tracker update.</x:v>
      </x:c>
    </x:row>
    <x:row r="11" ht="52" customHeight="1">
      <x:c r="A11" s="38" t="str">
        <x:v>8</x:v>
      </x:c>
      <x:c r="B11" s="36" t="str">
        <x:v>Open the Dashboard tab for a quick pass/fail snapshot before closing the loop.</x:v>
      </x:c>
    </x:row>
    <x:row r="12" ht="22" customHeight="1"/>
  </x:sheetData>
  <x:mergeCells>
    <x:mergeCell ref="A1:F1"/>
  </x:mergeCells>
  <x:pageMargins left="0.7" right="0.7" top="0.75" bottom="0.75" header="0.3" footer="0.3"/>
</x:worksheet>
</file>